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180" tabRatio="500" firstSheet="2" activeTab="4"/>
  </bookViews>
  <sheets>
    <sheet name="0. Notice" sheetId="1" r:id="rId1"/>
    <sheet name="1. Questionnaire" sheetId="2" r:id="rId2"/>
    <sheet name="2. Résultats" sheetId="3" r:id="rId3"/>
    <sheet name="3. Recommandations" sheetId="4" r:id="rId4"/>
    <sheet name="4. Référentiel rec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<sst xmlns="http://schemas.openxmlformats.org/spreadsheetml/2006/main" count="505" uniqueCount="345">
  <si>
    <t>Questionnaire d'évaluation de maturité — Gestion des risques et résilience</t>
  </si>
  <si>
    <t>Référentiel adapté de : OECD (2021), Enterprise Risk Management Maturity Model — étendu aux dimensions Continuité d'activité, Gestion de crise et Résilience organisationnelle (ISO 22301 / 22361 / 22316).</t>
  </si>
  <si>
    <t>Fiche d'identité de l'entité évaluée</t>
  </si>
  <si>
    <t>Nom de l'entité</t>
  </si>
  <si>
    <t>Secteur d'activité</t>
  </si>
  <si>
    <t>Effectif</t>
  </si>
  <si>
    <t>Périmètre évalué</t>
  </si>
  <si>
    <t>Personne référente</t>
  </si>
  <si>
    <t>Fonction</t>
  </si>
  <si>
    <t>Date de l'évaluation</t>
  </si>
  <si>
    <t>Mode d'emploi</t>
  </si>
  <si>
    <t>1. Rendez-vous sur l'onglet « 1. Questionnaire ». Il comporte 22 affirmations réparties sur 11 dimensions (2 par dimension).</t>
  </si>
  <si>
    <t>2. Pour chaque affirmation, indiquez dans la colonne « Réponse » si elle décrit votre situation actuelle : Non, Partiellement, ou Oui.</t>
  </si>
  <si>
    <t>3. Répondez sur la base de la situation réelle et non de la situation souhaitée. Une pratique documentée mais jamais appliquée n'est pas un « Oui ».</t>
  </si>
  <si>
    <t>4. Renseignez la colonne « Commentaire / preuve » pour justifier votre choix (document, instance, exercice réalisé, date). Facultatif mais fortement recommandé.</t>
  </si>
  <si>
    <t>5. Les onglets « 2. Résultats » et « 3. Recommandations » se calculent automatiquement. Aucune saisie n'y est requise.</t>
  </si>
  <si>
    <t>Comment choisir la modalité</t>
  </si>
  <si>
    <t>Modalité</t>
  </si>
  <si>
    <t>Points</t>
  </si>
  <si>
    <t>À retenir</t>
  </si>
  <si>
    <t>Non</t>
  </si>
  <si>
    <t>La pratique décrite n'existe pas, ou seulement de façon informelle et non reproductible.</t>
  </si>
  <si>
    <t>Partiellement</t>
  </si>
  <si>
    <t>La pratique existe mais sur une partie du périmètre seulement, ou de façon irrégulière, ou sans preuve d'efficacité (non testée, non mesurée, non suivie).</t>
  </si>
  <si>
    <t>Oui</t>
  </si>
  <si>
    <t>La pratique est en place sur tout le périmètre, appliquée régulièrement, et son efficacité est démontrable.</t>
  </si>
  <si>
    <t>Barème de maturité par dimension</t>
  </si>
  <si>
    <t>Chaque dimension comporte 2 affirmations, soit 0 à 4 points. Chaque total correspond à un niveau de maturité.</t>
  </si>
  <si>
    <t>Taux</t>
  </si>
  <si>
    <t>Niveau</t>
  </si>
  <si>
    <t>Combinaison correspondante</t>
  </si>
  <si>
    <t>0 %</t>
  </si>
  <si>
    <t>Émergent</t>
  </si>
  <si>
    <t>Non + Non</t>
  </si>
  <si>
    <t>25 %</t>
  </si>
  <si>
    <t>En progression</t>
  </si>
  <si>
    <t>Non + Partiellement</t>
  </si>
  <si>
    <t>50 %</t>
  </si>
  <si>
    <t>Établi</t>
  </si>
  <si>
    <t>Non + Oui, ou Partiellement + Partiellement</t>
  </si>
  <si>
    <t>75 %</t>
  </si>
  <si>
    <t>Avancé</t>
  </si>
  <si>
    <t>Partiellement + Oui</t>
  </si>
  <si>
    <t>100 %</t>
  </si>
  <si>
    <t>Aspirationnel</t>
  </si>
  <si>
    <t>Oui + Oui</t>
  </si>
  <si>
    <t>Pondération des dimensions</t>
  </si>
  <si>
    <t>Poids modifiables (cellules jaunes). Le score global est la moyenne pondérée des taux de maturité par dimension.</t>
  </si>
  <si>
    <t>Dimension</t>
  </si>
  <si>
    <t>Poids</t>
  </si>
  <si>
    <t>1. Stratégie</t>
  </si>
  <si>
    <t>2. Gouvernance</t>
  </si>
  <si>
    <t>3. Culture</t>
  </si>
  <si>
    <t>4. Identification des risques</t>
  </si>
  <si>
    <t>5. Analyse et évaluation des risques</t>
  </si>
  <si>
    <t>6. Traitement des risques</t>
  </si>
  <si>
    <t>7. Revue et révision</t>
  </si>
  <si>
    <t>8. Information et reporting</t>
  </si>
  <si>
    <t>9. Continuité d'activité (PCA/PRA)</t>
  </si>
  <si>
    <t>10. Gestion de crise (PGC)</t>
  </si>
  <si>
    <t>11. Résilience organisationnelle</t>
  </si>
  <si>
    <t>Total</t>
  </si>
  <si>
    <t>Questionnaire — pour chaque affirmation, sélectionnez Non, Partiellement ou Oui</t>
  </si>
  <si>
    <t>« Partiellement » = pratique partielle, irrégulière, ou sans preuve d'efficacité. Voir l'onglet Notice.</t>
  </si>
  <si>
    <t>N°</t>
  </si>
  <si>
    <t>Affirmation</t>
  </si>
  <si>
    <t>Réponse</t>
  </si>
  <si>
    <t>Commentaire / preuve</t>
  </si>
  <si>
    <t>1.1</t>
  </si>
  <si>
    <t>Notre stratégie et nos objectifs annuels sont élaborés à partir d'une analyse formalisée des risques susceptibles d'en compromettre l'atteinte, et cette analyse est mise à jour à chaque cycle de planification.</t>
  </si>
  <si>
    <t>1.2</t>
  </si>
  <si>
    <t>Notre appétit au risque est formalisé dans un document validé par la direction générale, décliné en tolérances par domaine, et effectivement utilisé lors des arbitrages budgétaires et d'investissement.</t>
  </si>
  <si>
    <t>2.1</t>
  </si>
  <si>
    <t>Une instance transverse dédiée aux risques se réunit selon une fréquence définie, dispose d'un mandat écrit</t>
  </si>
  <si>
    <t>2.2</t>
  </si>
  <si>
    <t xml:space="preserve">Les rôles, responsabilités et niveaux de délégation en matière de risques sont documentés et appliqués </t>
  </si>
  <si>
    <t>3.1</t>
  </si>
  <si>
    <t>La direction générale encourage explicitement et régulièrement les formatons et les sensibilisation en matière de gestion des risques</t>
  </si>
  <si>
    <t>3.2</t>
  </si>
  <si>
    <t>Tout collaborateur peut remonter un risque ou une alerte via un canal identifié et connu, sans crainte de conséquence personnelle</t>
  </si>
  <si>
    <t>4.1</t>
  </si>
  <si>
    <t>Nous identifions nos risques à intervalles réguliers selon une méthode et une taxonomie communes à toutes les entités, et les résultats sont consolidés dans une cartographie validée par la gouvernance.</t>
  </si>
  <si>
    <t>4.2</t>
  </si>
  <si>
    <t>Nous organisons une veille sur les risques émergents dont les conclusions sont présentées à la gouvernance et alimentent formellement la révision de notre cartographie des risques.</t>
  </si>
  <si>
    <t>5.1</t>
  </si>
  <si>
    <t>Nous évaluons nos risques selon une échelle unique dont les seuils sont calibrés par des repères chiffrés, appliquée de façon homogène dans toutes les entités.</t>
  </si>
  <si>
    <t>5.2</t>
  </si>
  <si>
    <t>Nous distinguons systématiquement le risque brut du risque résiduel après contrôles avec escalade en cas de dépassement de l'appétence</t>
  </si>
  <si>
    <t>6.1</t>
  </si>
  <si>
    <t>Chaque risque significatif fait l'objet d'un plan de traitement documentant le plan de rémédiation retenu, avec un responsable nommé, une échéance et un budget sécurisé.</t>
  </si>
  <si>
    <t>6.2</t>
  </si>
  <si>
    <t>Nous testons l'efficacité réelle des traitements mis en place, et pas seulement leur mise en œuvre, et les retards ou insuffisances font l'objet d'une escalade formelle.</t>
  </si>
  <si>
    <t>7.1</t>
  </si>
  <si>
    <t>Nous évaluons l'efficacité de notre dispositif de gestion des risques selon un rythme planifié</t>
  </si>
  <si>
    <t>7.2</t>
  </si>
  <si>
    <t>Nous recueillons et intégrons les enseignements tirés des incidents et des interruptions d'activité et situations d'urgence passées afin d'améliorer en continu notre dispositif</t>
  </si>
  <si>
    <t>8.1</t>
  </si>
  <si>
    <t>Nous disposons d'indicateurs de risque (KRI) reliés à nos risques et objectifs</t>
  </si>
  <si>
    <t>8.2</t>
  </si>
  <si>
    <t>L'information critique sur les risques remonte aux instances de décision dans des délais convenus</t>
  </si>
  <si>
    <t>9.1</t>
  </si>
  <si>
    <t>Nous disposons d'une analyse d'impact sur l'activité (BIA) couvrant nos processus critiques, avec des RTO/RPO validés par les métiers et intégrant les dépendances SI, fournisseurs, sites et compétences, revue périodiquement</t>
  </si>
  <si>
    <t>9.2</t>
  </si>
  <si>
    <t>Nous testons nos plans de continuité et de reprise selon un programme planifié couvrant plusieurs scénarios</t>
  </si>
  <si>
    <t>10.1</t>
  </si>
  <si>
    <t>Nous disposons d'un dispositif de crise formalisé et gradué : composition et suppléance de la cellule, critères et niveaux d'activation, chaîne d'alerte et moyens de communication</t>
  </si>
  <si>
    <t>10.2</t>
  </si>
  <si>
    <t>Nous réalisons les activités du programme de gestion de crise — élaboration des plans de réponse, formations et exercices impliquant la direction générale — de manière planifiée, régulière et cohérente</t>
  </si>
  <si>
    <t>11.1</t>
  </si>
  <si>
    <t>Nous disposons d'une cartographie à jour de nos dépendances critiques (fournisseurs, sites, systèmes, compétences rares), reliée à nos activités critiques et permettant d'identifier nos points de défaillance unique.</t>
  </si>
  <si>
    <t>11.2</t>
  </si>
  <si>
    <t>La résilience est un critère explicite et documenté de nos décisions structurantes (architecture, sourcing, implantation, projets), et notre capacité d'adaptation est mesurée après chaque perturbation réelle.</t>
  </si>
  <si>
    <t>Affirmations renseignées :</t>
  </si>
  <si>
    <t>Résultats de l'évaluation</t>
  </si>
  <si>
    <t>Calcul automatique — aucune saisie requise sur cet onglet.</t>
  </si>
  <si>
    <t>Points /4</t>
  </si>
  <si>
    <t>Niveau atteint</t>
  </si>
  <si>
    <t>Réponses</t>
  </si>
  <si>
    <t>SCORE GLOBAL PONDÉRÉ</t>
  </si>
  <si>
    <t>Lecture du score global</t>
  </si>
  <si>
    <t>Taux global</t>
  </si>
  <si>
    <t>0 – 12 %</t>
  </si>
  <si>
    <t>13 – 37 %</t>
  </si>
  <si>
    <t>38 – 62 %</t>
  </si>
  <si>
    <t>63 – 87 %</t>
  </si>
  <si>
    <t>88 – 100 %</t>
  </si>
  <si>
    <t>Recommandations personnalisées</t>
  </si>
  <si>
    <t>Généré automatiquement à partir du niveau atteint sur chaque dimension. Traitez en priorité les dimensions dont le taux apparaît en rouge ou en orange, en tenant compte de leur poids.</t>
  </si>
  <si>
    <t>Diagnostic</t>
  </si>
  <si>
    <t>Actions court terme (0–6 mois)</t>
  </si>
  <si>
    <t>Actions moyen terme (6–18 mois)</t>
  </si>
  <si>
    <t>Référentiel des recommandations (11 dimensions × 5 niveaux) — onglet technique, ne pas modifier</t>
  </si>
  <si>
    <t>Clé</t>
  </si>
  <si>
    <t>1. Stratégie|Émergent</t>
  </si>
  <si>
    <t>La stratégie est pilotée sans lecture prospective des risques : les décisions subissent les événements au lieu de les anticiper.</t>
  </si>
  <si>
    <t>Introduire un point « principaux risques de mise en œuvre » dans le prochain cycle de planification et recenser les 10 risques majeurs pouvant compromettre les objectifs de l'année.</t>
  </si>
  <si>
    <t>Formaliser une première déclaration d'appétit au risque validée par la direction générale et reliée aux objectifs stratégiques.</t>
  </si>
  <si>
    <t>1. Stratégie|En progression</t>
  </si>
  <si>
    <t>Le lien entre stratégie et risque existe mais reste ponctuel et déconnecté de l'appétit au risque.</t>
  </si>
  <si>
    <t>Structurer l'analyse des risques stratégiques selon un format unique appliqué à toutes les directions, et relier chaque objectif majeur à ses risques d'atteinte.</t>
  </si>
  <si>
    <t>Publier une déclaration d'appétit au risque intégrant les arbitrages et l'utiliser explicitement lors des arbitrages budgétaires.</t>
  </si>
  <si>
    <t>1. Stratégie|Établi</t>
  </si>
  <si>
    <t>La démarche est en place et cohérente ; le potentiel de progression porte sur la prospective et la granularité de l'appétit au risque.</t>
  </si>
  <si>
    <t>Mettre en place une revue semestrielle de l'appétit au risque par la gouvernance, à la lumière des événements survenus.</t>
  </si>
  <si>
    <t>Déployer une veille prospective et des exercices de scénarios impliquant des parties prenantes externes (régulateur, fournisseurs clés, pairs).</t>
  </si>
  <si>
    <t>1. Stratégie|Avancé</t>
  </si>
  <si>
    <t>Le dispositif est mature ; l'enjeu devient la finesse et la réactivité des ajustements.</t>
  </si>
  <si>
    <t>Décliner l'appétit au risque en tolérances chiffrées par domaine et les intégrer aux tableaux de bord de direction.</t>
  </si>
  <si>
    <t>Réduire le délai entre le signal de risque et l'ajustement de trajectoire, par un suivi rapproché des indicateurs stratégiques.</t>
  </si>
  <si>
    <t>1. Stratégie|Aspirationnel</t>
  </si>
  <si>
    <t>Niveau de référence. L'enjeu est le maintien dans la durée.</t>
  </si>
  <si>
    <t>Documenter la démarche pour la pérenniser au-delà des personnes en place.</t>
  </si>
  <si>
    <t>Faire challenger le modèle par des revues externes indépendantes pour éviter l'auto-satisfaction.</t>
  </si>
  <si>
    <t>2. Gouvernance|Émergent</t>
  </si>
  <si>
    <t>L'absence de structure claire empêche toute responsabilisation : les risques n'ont pas de propriétaire et ne sont pas arbitrés.</t>
  </si>
  <si>
    <t>Désigner un responsable de la gestion des risques et un sponsor au niveau de la direction générale, et recenser les instances existantes et leur rôle réel.</t>
  </si>
  <si>
    <t>Créer un comité des risques doté d'un mandat écrit, d'une fréquence de réunion et d'un ordre du jour type.</t>
  </si>
  <si>
    <t>2. Gouvernance|En progression</t>
  </si>
  <si>
    <t>Une gouvernance existe mais reste cloisonnée : l'information circule mal entre instances et la responsabilité est partielle.</t>
  </si>
  <si>
    <t>Formaliser un mandat écrit pour chaque instance, supprimer les zones de recouvrement et instaurer un reporting périodique standard au comité de direction.</t>
  </si>
  <si>
    <t>Déployer une matrice RACI des risques par direction et clarifier l'articulation entre métiers, fonction risque et audit.</t>
  </si>
  <si>
    <t>2. Gouvernance|Établi</t>
  </si>
  <si>
    <t>La gouvernance est structurée et fonctionne ; les marges portent sur la profondeur des arbitrages et la coordination des lignes de défense.</t>
  </si>
  <si>
    <t>Faire approuver formellement les tolérances au risque pour les risques majeurs par l'instance transverse.</t>
  </si>
  <si>
    <t>Construire un plan d'assurance coordonné entre fonction risque, conformité et audit pour éliminer angles morts et doublons.</t>
  </si>
  <si>
    <t>2. Gouvernance|Avancé</t>
  </si>
  <si>
    <t>Gouvernance solide. L'enjeu est la vérification indépendante de son efficacité réelle.</t>
  </si>
  <si>
    <t>Soumettre le dispositif à une évaluation indépendante portant sur son efficacité, et pas seulement sur sa conformité.</t>
  </si>
  <si>
    <t>Développer la capacité de décision rapide hors calendrier pour les risques à cinétique courte.</t>
  </si>
  <si>
    <t>2. Gouvernance|Aspirationnel</t>
  </si>
  <si>
    <t>Niveau de référence. Le risque principal devient la complaisance.</t>
  </si>
  <si>
    <t>Maintenir la cadence des évaluations indépendantes et faire challenger la gouvernance par des regards externes.</t>
  </si>
  <si>
    <t>Tester le dispositif sur des scénarios inédits plutôt que sur ceux déjà maîtrisés.</t>
  </si>
  <si>
    <t>3. Culture|Émergent</t>
  </si>
  <si>
    <t>La gestion des risques est perçue comme une contrainte administrative ; les alertes ne remontent pas.</t>
  </si>
  <si>
    <t>Faire porter un message explicite par la direction générale sur l'attendu en matière de risque, et créer un canal de remontée d'alerte identifié et communiqué.</t>
  </si>
  <si>
    <t>Déployer une sensibilisation de base à l'ensemble de l'encadrement, appuyée sur des cas concrets issus de l'entreprise.</t>
  </si>
  <si>
    <t>3. Culture|En progression</t>
  </si>
  <si>
    <t>La culture progresse mais reste concentrée sur les sujets visibles ; le reste de l'organisation n'est pas embarqué.</t>
  </si>
  <si>
    <t>Étendre les messages et la formation au-delà des projets à fort enjeu, et communiquer systématiquement les suites données aux alertes remontées.</t>
  </si>
  <si>
    <t>Intégrer un objectif lié à la gestion des risques dans l'évaluation annuelle de l'encadrement.</t>
  </si>
  <si>
    <t>3. Culture|Établi</t>
  </si>
  <si>
    <t>La culture est installée. Le levier suivant est la mesure : on ne pilote pas ce qu'on ne mesure pas.</t>
  </si>
  <si>
    <t>Mettre en place une formation continue structurée plutôt que ponctuelle.</t>
  </si>
  <si>
    <t>Mesurer la culture du risque (enquête, indicateurs comportementaux) et comparer les résultats entre entités ou avec des pairs.</t>
  </si>
  <si>
    <t>3. Culture|Avancé</t>
  </si>
  <si>
    <t>Culture forte et valorisée. L'enjeu est l'ancrage dans les comportements quotidiens.</t>
  </si>
  <si>
    <t>Analyser les écarts de culture entre entités et cibler les moins matures.</t>
  </si>
  <si>
    <t>Ancrer la gestion des risques dans les valeurs et les rituels managériaux, au-delà des processus formels.</t>
  </si>
  <si>
    <t>3. Culture|Aspirationnel</t>
  </si>
  <si>
    <t>Niveau de référence.</t>
  </si>
  <si>
    <t>Préserver l'espace de parole et la sécurité psychologique qui permettent aux signaux faibles de remonter.</t>
  </si>
  <si>
    <t>Continuer à mesurer la culture pour détecter tout affaiblissement précoce.</t>
  </si>
  <si>
    <t>4. Identification des risques|Émergent</t>
  </si>
  <si>
    <t>Sans identification structurée, l'organisation ne connaît pas son exposition : elle découvre ses risques quand ils surviennent.</t>
  </si>
  <si>
    <t>Conduire un premier atelier d'identification des risques par direction selon une trame unique, et constituer un registre centralisé.</t>
  </si>
  <si>
    <t>Instaurer un cycle d'identification au moins annuel et désigner un propriétaire par risque.</t>
  </si>
  <si>
    <t>4. Identification des risques|En progression</t>
  </si>
  <si>
    <t>L'identification existe mais sa qualité est hétérogène ; la vision consolidée reste partielle.</t>
  </si>
  <si>
    <t>Harmoniser la trame et la maille de description des risques entre entités, et établir une taxonomie commune.</t>
  </si>
  <si>
    <t>Construire une cartographie consolidée validée par la gouvernance, avec un profil de risque par direction.</t>
  </si>
  <si>
    <t>4. Identification des risques|Établi</t>
  </si>
  <si>
    <t>Le processus est standardisé et régulier. Les marges portent sur les interrelations et l'anticipation.</t>
  </si>
  <si>
    <t>Analyser explicitement les risques interreliés et les effets domino entre directions.</t>
  </si>
  <si>
    <t>Organiser une veille sur les risques émergents dont les conclusions alimentent formellement la cartographie.</t>
  </si>
  <si>
    <t>4. Identification des risques|Avancé</t>
  </si>
  <si>
    <t>Identification mature et cohérente. L'enjeu est la précocité de détection.</t>
  </si>
  <si>
    <t>Élargir les sources d'identification : externes, sectorielles, données opérationnelles, signaux faibles.</t>
  </si>
  <si>
    <t>Instaurer une revue par les pairs des risques et de leurs interrelations entre directions.</t>
  </si>
  <si>
    <t>4. Identification des risques|Aspirationnel</t>
  </si>
  <si>
    <t>Vérifier régulièrement que l'outillage ne crée pas d'angle mort sur les risques non modélisables.</t>
  </si>
  <si>
    <t>Maintenir une identification humaine complémentaire aux dispositifs automatisés.</t>
  </si>
  <si>
    <t>5. Analyse et évaluation des risques|Émergent</t>
  </si>
  <si>
    <t>Sans analyse structurée, la priorisation est arbitraire : les moyens ne vont pas là où l'exposition est la plus forte.</t>
  </si>
  <si>
    <t>Adopter une échelle unique de cotation probabilité/impact et l'appliquer à tous les risques du registre.</t>
  </si>
  <si>
    <t>Produire une première matrice de criticité consolidée et l'utiliser pour prioriser les travaux de l'année.</t>
  </si>
  <si>
    <t>5. Analyse et évaluation des risques|En progression</t>
  </si>
  <si>
    <t>L'analyse est standardisée mais subjective ; les cotations varient d'une entité à l'autre.</t>
  </si>
  <si>
    <t>Calibrer les échelles avec des repères chiffrés (seuils financiers, durée d'indisponibilité, clients impactés) pour réduire la subjectivité.</t>
  </si>
  <si>
    <t>Introduire le risque résiduel après contrôles et le comparer à la tolérance définie.</t>
  </si>
  <si>
    <t>5. Analyse et évaluation des risques|Établi</t>
  </si>
  <si>
    <t>Le dispositif d'analyse est solide. Le levier est la quantification et l'usage des scénarios.</t>
  </si>
  <si>
    <t>Étendre les analyses de scénarios aux risques majeurs, au-delà des seules zones déjà identifiées comme sensibles.</t>
  </si>
  <si>
    <t>Développer les techniques quantitatives sur les risques financièrement matériels (sensibilité, valeur monétaire attendue, simulation).</t>
  </si>
  <si>
    <t>5. Analyse et évaluation des risques|Avancé</t>
  </si>
  <si>
    <t>Analyse mature. L'enjeu est la dynamique et la lutte contre les biais.</t>
  </si>
  <si>
    <t>Formaliser des seuils déclencheurs de réévaluation des risques et les instrumenter.</t>
  </si>
  <si>
    <t>Mettre en place des mécanismes de réduction des biais de cotation : revue croisée, avocat du diable, calibration des évaluateurs.</t>
  </si>
  <si>
    <t>5. Analyse et évaluation des risques|Aspirationnel</t>
  </si>
  <si>
    <t>Vérifier que la sophistication du modèle n'écrase pas le jugement expert sur les risques atypiques.</t>
  </si>
  <si>
    <t>Faire auditer périodiquement les hypothèses des modèles quantitatifs.</t>
  </si>
  <si>
    <t>6. Traitement des risques|Émergent</t>
  </si>
  <si>
    <t>Les risques identifiés ne sont pas traités : l'organisation sait, mais n'agit pas de façon organisée.</t>
  </si>
  <si>
    <t>Élaborer un plan de traitement pour les 10 risques les plus critiques, avec responsable et échéance nommés.</t>
  </si>
  <si>
    <t>Instaurer un format standard précisant l'option retenue (réduire, transférer, éviter, accepter) et sa justification.</t>
  </si>
  <si>
    <t>6. Traitement des risques|En progression</t>
  </si>
  <si>
    <t>Les plans existent mais leur qualité dépend de l'engagement des managers ; le suivi est faible.</t>
  </si>
  <si>
    <t>Instaurer un suivi centralisé des actions avec revue mensuelle des retards.</t>
  </si>
  <si>
    <t>Exiger une analyse coûts/bénéfices documentée pour les traitements significatifs et sécuriser les budgets associés.</t>
  </si>
  <si>
    <t>6. Traitement des risques|Établi</t>
  </si>
  <si>
    <t>Le traitement est organisé et coordonné. Les marges portent sur la mesure d'efficacité.</t>
  </si>
  <si>
    <t>Tester l'efficacité réelle des traitements majeurs plutôt que de constater leur mise en œuvre.</t>
  </si>
  <si>
    <t>Analyser les risques induits par les traitements eux-mêmes et les traiter dans le même cadre.</t>
  </si>
  <si>
    <t>6. Traitement des risques|Avancé</t>
  </si>
  <si>
    <t>Traitement mature. L'enjeu est la réactivité de l'ajustement.</t>
  </si>
  <si>
    <t>Définir des seuils déclencheurs d'ajustement des traitements et les instrumenter.</t>
  </si>
  <si>
    <t>Prévoir explicitement les cas où le traitement impose de réviser un objectif plutôt que de contraindre le risque.</t>
  </si>
  <si>
    <t>6. Traitement des risques|Aspirationnel</t>
  </si>
  <si>
    <t>S'assurer que l'optimisation locale des traitements ne dégrade pas la position de risque globale.</t>
  </si>
  <si>
    <t>Étendre la logique aux risques portés par l'écosystème : fournisseurs, partenaires, régulateur.</t>
  </si>
  <si>
    <t>7. Revue et révision|Émergent</t>
  </si>
  <si>
    <t>Le dispositif ne s'améliore qu'après un choc, et seulement sur le point touché : les mêmes causes produiront les mêmes effets ailleurs.</t>
  </si>
  <si>
    <t>Instituer une revue annuelle du dispositif, indépendamment de tout incident.</t>
  </si>
  <si>
    <t>Systématiser un retour d'expérience formalisé après chaque incident significatif, avec plan d'action suivi.</t>
  </si>
  <si>
    <t>7. Revue et révision|En progression</t>
  </si>
  <si>
    <t>Les revues ont lieu mais leurs conclusions restent locales et peu suivies.</t>
  </si>
  <si>
    <t>Mettre en place un suivi des recommandations jusqu'à clôture, avec un point régulier en comité.</t>
  </si>
  <si>
    <t>Diffuser les enseignements des incidents à l'ensemble de l'organisation, et pas seulement au domaine concerné.</t>
  </si>
  <si>
    <t>7. Revue et révision|Établi</t>
  </si>
  <si>
    <t>Les revues sont régulières et suivies. Le levier est l'élargissement du périmètre et la comparaison externe.</t>
  </si>
  <si>
    <t>Étendre les revues au-delà des zones à risque élevé, pour détecter les faiblesses dans les domaines réputés stables.</t>
  </si>
  <si>
    <t>Comparer le dispositif à celui d'organisations comparables pour objectiver le niveau réel.</t>
  </si>
  <si>
    <t>7. Revue et révision|Avancé</t>
  </si>
  <si>
    <t>Revue mature et intégrée. L'enjeu est l'indépendance du regard.</t>
  </si>
  <si>
    <t>Faire évaluer périodiquement l'efficacité du dispositif par un tiers indépendant.</t>
  </si>
  <si>
    <t>Mesurer l'effet réel des recommandations mises en œuvre, et pas seulement leur taux de réalisation.</t>
  </si>
  <si>
    <t>7. Revue et révision|Aspirationnel</t>
  </si>
  <si>
    <t>Maintenir la revue indépendante et éviter que l'outillage ne remplace le regard critique.</t>
  </si>
  <si>
    <t>Exploiter les quasi-incidents (near-miss) comme source principale d'apprentissage.</t>
  </si>
  <si>
    <t>8. Information et reporting|Émergent</t>
  </si>
  <si>
    <t>L'information sur les risques n'atteint pas les décideurs à temps ni sous une forme exploitable.</t>
  </si>
  <si>
    <t>Définir un format unique de reporting des risques et une fréquence minimale de remontée.</t>
  </si>
  <si>
    <t>Identifier 5 à 10 indicateurs clés de risque (KRI) sur les processus les plus critiques et les instrumenter.</t>
  </si>
  <si>
    <t>8. Information et reporting|En progression</t>
  </si>
  <si>
    <t>Les formats existent mais l'application est inégale ; la qualité des données limite la fiabilité des décisions.</t>
  </si>
  <si>
    <t>Désigner un propriétaire de la donnée risque et fixer des standards de qualité et de fraîcheur.</t>
  </si>
  <si>
    <t>Relier explicitement chaque indicateur à un risque et à un objectif, et définir des seuils d'escalade.</t>
  </si>
  <si>
    <t>8. Information et reporting|Établi</t>
  </si>
  <si>
    <t>Le reporting est cohérent. Les marges portent sur la qualité des données et la rapidité d'escalade.</t>
  </si>
  <si>
    <t>Homogénéiser la fraîcheur et la fiabilité des données entre entités, qui restent le point faible.</t>
  </si>
  <si>
    <t>Éprouver le mécanisme d'escalade hors calendrier par un test réel, et pas seulement par sa description.</t>
  </si>
  <si>
    <t>8. Information et reporting|Avancé</t>
  </si>
  <si>
    <t>Reporting mature. L'enjeu est la personnalisation et la vitesse.</t>
  </si>
  <si>
    <t>Interroger les destinataires sur ce dont ils ont réellement besoin et supprimer ce qui n'est pas utilisé.</t>
  </si>
  <si>
    <t>Développer les capacités d'analyse détaillée sur les risques interreliés.</t>
  </si>
  <si>
    <t>8. Information et reporting|Aspirationnel</t>
  </si>
  <si>
    <t>Évaluer périodiquement l'efficacité réelle des canaux, et pas seulement leur existence.</t>
  </si>
  <si>
    <t>Veiller à ce que le volume d'information ne dégrade pas la capacité de discernement.</t>
  </si>
  <si>
    <t>9. Continuité d'activité (PCA/PRA)|Émergent</t>
  </si>
  <si>
    <t>Sans BIA ni plan testé, l'organisation ne sait ni ce qu'elle doit sauver en priorité, ni en combien de temps : toute interruption majeure serait subie.</t>
  </si>
  <si>
    <t>Lancer un BIA sur les processus les plus critiques : activités vitales, durée maximale d'interruption admissible, dépendances.</t>
  </si>
  <si>
    <t>Formaliser un premier PCA sur les activités critiques, avec des stratégies de continuité arbitrées et validées par la direction.</t>
  </si>
  <si>
    <t>9. Continuité d'activité (PCA/PRA)|En progression</t>
  </si>
  <si>
    <t>Le dispositif existe partiellement, souvent limité au SI : le redémarrage technique ne garantit pas la reprise de l'activité.</t>
  </si>
  <si>
    <t>Faire valider les RTO/RPO par les métiers et non par la seule DSI, et étendre le périmètre aux locaux, personnes clés et fournisseurs.</t>
  </si>
  <si>
    <t>Construire un programme de tests annuel couvrant les plans critiques, avec RETEX et actions correctives suivies.</t>
  </si>
  <si>
    <t>9. Continuité d'activité (PCA/PRA)|Établi</t>
  </si>
  <si>
    <t>Le dispositif de continuité est en place et documenté. Le levier majeur est la preuve par le test.</t>
  </si>
  <si>
    <t>Vérifier que les RTO annoncés sont réellement atteints en conditions de test, et non seulement déclarés.</t>
  </si>
  <si>
    <t>Étendre la couverture à des scénarios multiples (cyber, indisponibilité de site, défaillance fournisseur stratégique, énergie).</t>
  </si>
  <si>
    <t>9. Continuité d'activité (PCA/PRA)|Avancé</t>
  </si>
  <si>
    <t>Dispositif mature et multi-scénarios. L'enjeu est la vitalité de la documentation et la profondeur des tests.</t>
  </si>
  <si>
    <t>Passer à des tests de bout en bout impliquant les métiers, et non uniquement des bascules techniques.</t>
  </si>
  <si>
    <t>Relier les plans à la cartographie des dépendances pour que toute évolution structurante déclenche leur mise à jour.</t>
  </si>
  <si>
    <t>9. Continuité d'activité (PCA/PRA)|Aspirationnel</t>
  </si>
  <si>
    <t>Introduire des tests inopinés pour vérifier la robustesse réelle hors conditions préparées.</t>
  </si>
  <si>
    <t>Maintenir un mode dégradé fonctionnant sans les outils avancés, en cas d'indisponibilité de ces derniers.</t>
  </si>
  <si>
    <t>10. Gestion de crise (PGC)|Émergent</t>
  </si>
  <si>
    <t>En l'absence de dispositif, la réponse à une crise dépendrait de l'improvisation : les premières heures, décisives, seraient perdues.</t>
  </si>
  <si>
    <t>Constituer une cellule de crise nommée avec suppléants, définir les critères et niveaux d'activation, établir une chaîne d'alerte.</t>
  </si>
  <si>
    <t>Conduire un premier exercice sur table sur un scénario réaliste, avec RETEX et plan d'action.</t>
  </si>
  <si>
    <t>10. Gestion de crise (PGC)|En progression</t>
  </si>
  <si>
    <t>Le dispositif existe sur le papier mais n'est pas suffisamment éprouvé : l'écart entre le document et la réalité ne se révélera qu'en crise.</t>
  </si>
  <si>
    <t>Organiser l'astreinte, tester la chaîne d'alerte de façon inopinée et documenter les moyens de repli.</t>
  </si>
  <si>
    <t>Instaurer un exercice annuel impliquant la direction générale, avec observateurs et RETEX formalisé.</t>
  </si>
  <si>
    <t>10. Gestion de crise (PGC)|Établi</t>
  </si>
  <si>
    <t>Le dispositif est formalisé et exercé. Le levier est la montée en réalisme et l'implication du sommet.</t>
  </si>
  <si>
    <t>Impliquer systématiquement le COMEX dans les exercices et faire évaluer la conduite par des observateurs externes au dispositif.</t>
  </si>
  <si>
    <t>Graduer le dispositif par niveau de crise et intégrer la communication de crise (interne, clients, régulateur, médias) au programme d'exercices.</t>
  </si>
  <si>
    <t>10. Gestion de crise (PGC)|Avancé</t>
  </si>
  <si>
    <t>Dispositif mature et gradué. L'enjeu est de sortir des scénarios confortables.</t>
  </si>
  <si>
    <t>Calibrer les exercices sur les faiblesses réellement identifiées plutôt que sur les scénarios maîtrisés.</t>
  </si>
  <si>
    <t>Introduire des exercices inopinés et des scénarios combinés (crise cyber doublée d'une crise médiatique, par exemple).</t>
  </si>
  <si>
    <t>10. Gestion de crise (PGC)|Aspirationnel</t>
  </si>
  <si>
    <t>Vérifier que le dispositif reste opérable en mode dégradé, sans les outils de surveillance et de traçabilité.</t>
  </si>
  <si>
    <t>Entretenir la compétence de décision sous incertitude, qui reste humaine et se perd sans entraînement.</t>
  </si>
  <si>
    <t>11. Résilience organisationnelle|Émergent</t>
  </si>
  <si>
    <t>Les dépendances critiques étant inconnues, l'organisation ignore par où elle peut tomber : la résilience relève du hasard.</t>
  </si>
  <si>
    <t>Cartographier les dépendances critiques de premier rang : fournisseurs, sites, systèmes, compétences rares.</t>
  </si>
  <si>
    <t>Identifier les points de défaillance unique et arbitrer leur traitement.</t>
  </si>
  <si>
    <t>11. Résilience organisationnelle|En progression</t>
  </si>
  <si>
    <t>L'organisation a tenu jusqu'ici grâce à l'engagement des personnes plutôt qu'à son dispositif : cette résilience n'est pas reproductible.</t>
  </si>
  <si>
    <t>Consolider les connaissances éparses en un référentiel unique des dépendances, relié aux activités critiques.</t>
  </si>
  <si>
    <t>Introduire des exigences de résilience dans les cahiers des charges d'achat et les jalons projet.</t>
  </si>
  <si>
    <t>11. Résilience organisationnelle|Établi</t>
  </si>
  <si>
    <t>La résilience est structurée. Le levier est l'anticipation des dépendances indirectes et l'intégration en amont.</t>
  </si>
  <si>
    <t>Étendre la cartographie aux dépendances de rang 2 (fournisseurs de vos fournisseurs) et détecter les concentrations.</t>
  </si>
  <si>
    <t>Faire de la résilience un critère explicite et documenté des décisions d'architecture, de sourcing et d'implantation.</t>
  </si>
  <si>
    <t>11. Résilience organisationnelle|Avancé</t>
  </si>
  <si>
    <t>Résilience mature et mesurée. L'enjeu est la valorisation et la transformation.</t>
  </si>
  <si>
    <t>Suivre des indicateurs de résilience (temps de retour à la normale, pertes évitées) et les faire progresser d'un événement à l'autre.</t>
  </si>
  <si>
    <t>Détecter en continu les concentrations de risque créées par les évolutions du modèle opérationnel.</t>
  </si>
  <si>
    <t>11. Résilience organisationnelle|Aspirationnel</t>
  </si>
  <si>
    <t>Vérifier que la résilience conçue tient face à des perturbations non anticipées par les modèles.</t>
  </si>
  <si>
    <t>Préserver les marges de manœuvre (redondances, stocks, polyvalence) que l'optimisation économique tend à éroder.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</si>
</sst>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0\ %"/>
    <numFmt numFmtId="181" formatCode="0.0\ %"/>
  </numFmts>
  <fonts count="39">
    <font>
      <sz val="11"/>
      <color theme="1"/>
      <name val="Calibri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9"/>
      <name val="Arial"/>
      <charset val="1"/>
    </font>
    <font>
      <b/>
      <sz val="9"/>
      <color rgb="FFC55A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b/>
      <sz val="12"/>
      <color rgb="FFC55A11"/>
      <name val="Arial"/>
      <charset val="1"/>
    </font>
    <font>
      <b/>
      <sz val="13"/>
      <color rgb="FF1F3864"/>
      <name val="Arial"/>
      <charset val="1"/>
    </font>
    <font>
      <b/>
      <sz val="10"/>
      <color rgb="FF1F3864"/>
      <name val="Arial"/>
      <charset val="1"/>
    </font>
    <font>
      <b/>
      <sz val="11"/>
      <color rgb="FF0000FF"/>
      <name val="Arial"/>
      <charset val="1"/>
    </font>
    <font>
      <b/>
      <sz val="11"/>
      <color rgb="FFC55A11"/>
      <name val="Arial"/>
      <charset val="1"/>
    </font>
    <font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Border="0" applyAlignment="0" applyProtection="0"/>
    <xf numFmtId="177" fontId="18" fillId="0" borderId="0" applyBorder="0" applyAlignment="0" applyProtection="0"/>
    <xf numFmtId="9" fontId="18" fillId="0" borderId="0" applyBorder="0" applyAlignment="0" applyProtection="0"/>
    <xf numFmtId="178" fontId="18" fillId="0" borderId="0" applyBorder="0" applyAlignment="0" applyProtection="0"/>
    <xf numFmtId="179" fontId="18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8" borderId="6" applyNumberFormat="0" applyAlignment="0" applyProtection="0">
      <alignment vertical="center"/>
    </xf>
    <xf numFmtId="0" fontId="30" fillId="8" borderId="5" applyNumberFormat="0" applyAlignment="0" applyProtection="0">
      <alignment vertical="center"/>
    </xf>
    <xf numFmtId="0" fontId="31" fillId="9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 applyBorder="1"/>
    <xf numFmtId="0" fontId="6" fillId="0" borderId="1" xfId="0" applyFont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/>
    <xf numFmtId="0" fontId="0" fillId="0" borderId="1" xfId="0" applyBorder="1"/>
    <xf numFmtId="181" fontId="10" fillId="3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3" borderId="1" xfId="0" applyFont="1" applyFill="1" applyBorder="1"/>
    <xf numFmtId="0" fontId="12" fillId="0" borderId="0" xfId="0" applyFont="1"/>
    <xf numFmtId="0" fontId="8" fillId="0" borderId="1" xfId="0" applyFont="1" applyBorder="1"/>
    <xf numFmtId="0" fontId="13" fillId="0" borderId="0" xfId="0" applyFont="1" applyBorder="1"/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1" fillId="0" borderId="0" xfId="0" applyFont="1"/>
    <xf numFmtId="0" fontId="8" fillId="4" borderId="1" xfId="0" applyFont="1" applyFill="1" applyBorder="1"/>
    <xf numFmtId="0" fontId="8" fillId="0" borderId="0" xfId="0" applyFont="1" applyBorder="1" applyAlignment="1">
      <alignment vertical="top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7" fillId="4" borderId="1" xfId="0" applyFont="1" applyFill="1" applyBorder="1" applyAlignment="1">
      <alignment horizontal="center"/>
    </xf>
    <xf numFmtId="0" fontId="11" fillId="0" borderId="1" xfId="0" applyFont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21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6E0B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0B4"/>
      <rgbColor rgb="00FFE699"/>
      <rgbColor rgb="00D9E1F2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C55A11"/>
      <rgbColor rgb="004A7EBB"/>
      <rgbColor rgb="00878787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Profil de maturité par dimension (%)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'2. Résultats'!$D$5</c:f>
              <c:strCache>
                <c:ptCount val="1"/>
                <c:pt idx="0">
                  <c:v>Taux</c:v>
                </c:pt>
              </c:strCache>
            </c:strRef>
          </c:tx>
          <c:spPr>
            <a:ln w="6660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fr-F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'2. Résultats'!$B$6:$B$16</c:f>
              <c:strCache>
                <c:ptCount val="11"/>
                <c:pt idx="0" c:formatCode="General">
                  <c:v>1. Stratégie</c:v>
                </c:pt>
                <c:pt idx="1" c:formatCode="General">
                  <c:v>2. Gouvernance</c:v>
                </c:pt>
                <c:pt idx="2" c:formatCode="General">
                  <c:v>3. Culture</c:v>
                </c:pt>
                <c:pt idx="3" c:formatCode="General">
                  <c:v>4. Identification des risques</c:v>
                </c:pt>
                <c:pt idx="4" c:formatCode="General">
                  <c:v>5. Analyse et évaluation des risques</c:v>
                </c:pt>
                <c:pt idx="5" c:formatCode="General">
                  <c:v>6. Traitement des risques</c:v>
                </c:pt>
                <c:pt idx="6" c:formatCode="General">
                  <c:v>7. Revue et révision</c:v>
                </c:pt>
                <c:pt idx="7" c:formatCode="General">
                  <c:v>8. Information et reporting</c:v>
                </c:pt>
                <c:pt idx="8" c:formatCode="General">
                  <c:v>9. Continuité d'activité (PCA/PRA)</c:v>
                </c:pt>
                <c:pt idx="9" c:formatCode="General">
                  <c:v>10. Gestion de crise (PGC)</c:v>
                </c:pt>
                <c:pt idx="10" c:formatCode="General">
                  <c:v>11. Résilience organisationnelle</c:v>
                </c:pt>
              </c:strCache>
            </c:strRef>
          </c:cat>
          <c:val>
            <c:numRef>
              <c:f>'2. Résultats'!$D$6:$D$16</c:f>
              <c:numCache>
                <c:formatCode>0\ 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49932540"/>
        <c:axId val="508282"/>
      </c:radarChart>
      <c:catAx>
        <c:axId val="499325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8282"/>
        <c:crosses val="autoZero"/>
        <c:auto val="1"/>
        <c:lblAlgn val="ctr"/>
        <c:lblOffset val="100"/>
        <c:noMultiLvlLbl val="0"/>
      </c:catAx>
      <c:valAx>
        <c:axId val="508282"/>
        <c:scaling>
          <c:orientation val="minMax"/>
          <c:max val="1"/>
          <c:min val="0"/>
        </c:scaling>
        <c:delete val="0"/>
        <c:axPos val="r"/>
        <c:numFmt formatCode="0\ 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9932540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fr-FR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fe0a62-6b7e-4a39-9a8d-08e2b8b10ed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</xdr:row>
      <xdr:rowOff>131040</xdr:rowOff>
    </xdr:from>
    <xdr:to>
      <xdr:col>19</xdr:col>
      <xdr:colOff>436320</xdr:colOff>
      <xdr:row>29</xdr:row>
      <xdr:rowOff>37440</xdr:rowOff>
    </xdr:to>
    <xdr:graphicFrame>
      <xdr:nvGraphicFramePr>
        <xdr:cNvPr id="2" name="Chart 1"/>
        <xdr:cNvGraphicFramePr/>
      </xdr:nvGraphicFramePr>
      <xdr:xfrm>
        <a:off x="7152640" y="754380"/>
        <a:ext cx="6042660" cy="4630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52"/>
  <sheetViews>
    <sheetView showGridLines="0" topLeftCell="A11" workbookViewId="0">
      <selection activeCell="A1" sqref="A1"/>
    </sheetView>
  </sheetViews>
  <sheetFormatPr defaultColWidth="8.68141592920354" defaultRowHeight="14.25" outlineLevelCol="7"/>
  <cols>
    <col min="1" max="1" width="2" customWidth="1"/>
    <col min="2" max="2" width="34" customWidth="1"/>
    <col min="3" max="3" width="14" customWidth="1"/>
    <col min="4" max="4" width="22" customWidth="1"/>
    <col min="5" max="5" width="52" customWidth="1"/>
    <col min="6" max="8" width="14" customWidth="1"/>
  </cols>
  <sheetData>
    <row r="2" ht="20.6" spans="2:8">
      <c r="B2" s="4" t="s">
        <v>0</v>
      </c>
    </row>
    <row r="3" spans="2:8">
      <c r="B3" s="5" t="s">
        <v>1</v>
      </c>
      <c r="C3" s="5"/>
      <c r="D3" s="5"/>
      <c r="E3" s="5"/>
      <c r="F3" s="5"/>
      <c r="G3" s="5"/>
      <c r="H3" s="5"/>
    </row>
    <row r="5" ht="15" spans="2:8">
      <c r="B5" s="19" t="s">
        <v>2</v>
      </c>
    </row>
    <row r="6" spans="2:8">
      <c r="B6" s="32" t="s">
        <v>3</v>
      </c>
      <c r="C6" s="33"/>
    </row>
    <row r="7" spans="2:8">
      <c r="B7" s="32" t="s">
        <v>4</v>
      </c>
      <c r="C7" s="33"/>
    </row>
    <row r="8" spans="2:8">
      <c r="B8" s="32" t="s">
        <v>5</v>
      </c>
      <c r="C8" s="33"/>
    </row>
    <row r="9" spans="2:8">
      <c r="B9" s="32" t="s">
        <v>6</v>
      </c>
      <c r="C9" s="33"/>
    </row>
    <row r="10" spans="2:8">
      <c r="B10" s="32" t="s">
        <v>7</v>
      </c>
      <c r="C10" s="33"/>
    </row>
    <row r="11" spans="2:8">
      <c r="B11" s="32" t="s">
        <v>8</v>
      </c>
      <c r="C11" s="33"/>
    </row>
    <row r="12" spans="2:8">
      <c r="B12" s="32" t="s">
        <v>9</v>
      </c>
      <c r="C12" s="33"/>
    </row>
    <row r="14" ht="15" spans="2:8">
      <c r="B14" s="19" t="s">
        <v>10</v>
      </c>
    </row>
    <row r="15" ht="25.5" customHeight="1" spans="2:8">
      <c r="B15" s="34" t="s">
        <v>11</v>
      </c>
      <c r="C15" s="34"/>
      <c r="D15" s="34"/>
      <c r="E15" s="34"/>
      <c r="F15" s="34"/>
      <c r="G15" s="34"/>
      <c r="H15" s="34"/>
    </row>
    <row r="16" ht="25.5" customHeight="1" spans="2:8">
      <c r="B16" s="34" t="s">
        <v>12</v>
      </c>
      <c r="C16" s="34"/>
      <c r="D16" s="34"/>
      <c r="E16" s="34"/>
      <c r="F16" s="34"/>
      <c r="G16" s="34"/>
      <c r="H16" s="34"/>
    </row>
    <row r="17" ht="25.5" customHeight="1" spans="2:8">
      <c r="B17" s="34" t="s">
        <v>13</v>
      </c>
      <c r="C17" s="34"/>
      <c r="D17" s="34"/>
      <c r="E17" s="34"/>
      <c r="F17" s="34"/>
      <c r="G17" s="34"/>
      <c r="H17" s="34"/>
    </row>
    <row r="18" ht="25.5" customHeight="1" spans="2:8">
      <c r="B18" s="34" t="s">
        <v>14</v>
      </c>
      <c r="C18" s="34"/>
      <c r="D18" s="34"/>
      <c r="E18" s="34"/>
      <c r="F18" s="34"/>
      <c r="G18" s="34"/>
      <c r="H18" s="34"/>
    </row>
    <row r="19" ht="25.5" customHeight="1" spans="2:8">
      <c r="B19" s="34" t="s">
        <v>15</v>
      </c>
      <c r="C19" s="34"/>
      <c r="D19" s="34"/>
      <c r="E19" s="34"/>
      <c r="F19" s="34"/>
      <c r="G19" s="34"/>
      <c r="H19" s="34"/>
    </row>
    <row r="21" ht="15" spans="2:8">
      <c r="B21" s="19" t="s">
        <v>16</v>
      </c>
    </row>
    <row r="22" spans="2:8">
      <c r="B22" s="2" t="s">
        <v>17</v>
      </c>
      <c r="C22" s="2" t="s">
        <v>18</v>
      </c>
      <c r="D22" s="2" t="s">
        <v>19</v>
      </c>
    </row>
    <row r="23" ht="30" customHeight="1" spans="2:8">
      <c r="B23" s="35" t="s">
        <v>20</v>
      </c>
      <c r="C23" s="23">
        <v>0</v>
      </c>
      <c r="D23" s="24" t="s">
        <v>21</v>
      </c>
    </row>
    <row r="24" ht="30" customHeight="1" spans="2:8">
      <c r="B24" s="35" t="s">
        <v>22</v>
      </c>
      <c r="C24" s="23">
        <v>1</v>
      </c>
      <c r="D24" s="24" t="s">
        <v>23</v>
      </c>
    </row>
    <row r="25" ht="30" customHeight="1" spans="2:8">
      <c r="B25" s="35" t="s">
        <v>24</v>
      </c>
      <c r="C25" s="23">
        <v>2</v>
      </c>
      <c r="D25" s="24" t="s">
        <v>25</v>
      </c>
    </row>
    <row r="28" ht="15" spans="2:8">
      <c r="B28" s="19" t="s">
        <v>26</v>
      </c>
    </row>
    <row r="29" spans="2:8">
      <c r="B29" s="5" t="s">
        <v>27</v>
      </c>
      <c r="C29" s="5"/>
      <c r="D29" s="5"/>
      <c r="E29" s="5"/>
      <c r="F29" s="5"/>
      <c r="G29" s="5"/>
      <c r="H29" s="5"/>
    </row>
    <row r="30" spans="2:8">
      <c r="B30" s="2" t="s">
        <v>18</v>
      </c>
      <c r="C30" s="2" t="s">
        <v>28</v>
      </c>
      <c r="D30" s="2" t="s">
        <v>29</v>
      </c>
      <c r="E30" s="2" t="s">
        <v>30</v>
      </c>
    </row>
    <row r="31" spans="2:8">
      <c r="B31" s="12">
        <v>0</v>
      </c>
      <c r="C31" s="12" t="s">
        <v>31</v>
      </c>
      <c r="D31" s="36" t="s">
        <v>32</v>
      </c>
      <c r="E31" s="11" t="s">
        <v>33</v>
      </c>
    </row>
    <row r="32" spans="2:8">
      <c r="B32" s="12">
        <v>1</v>
      </c>
      <c r="C32" s="12" t="s">
        <v>34</v>
      </c>
      <c r="D32" s="36" t="s">
        <v>35</v>
      </c>
      <c r="E32" s="11" t="s">
        <v>36</v>
      </c>
    </row>
    <row r="33" spans="2:8">
      <c r="B33" s="12">
        <v>2</v>
      </c>
      <c r="C33" s="12" t="s">
        <v>37</v>
      </c>
      <c r="D33" s="36" t="s">
        <v>38</v>
      </c>
      <c r="E33" s="11" t="s">
        <v>39</v>
      </c>
    </row>
    <row r="34" spans="2:8">
      <c r="B34" s="12">
        <v>3</v>
      </c>
      <c r="C34" s="12" t="s">
        <v>40</v>
      </c>
      <c r="D34" s="36" t="s">
        <v>41</v>
      </c>
      <c r="E34" s="11" t="s">
        <v>42</v>
      </c>
    </row>
    <row r="35" spans="2:8">
      <c r="B35" s="12">
        <v>4</v>
      </c>
      <c r="C35" s="12" t="s">
        <v>43</v>
      </c>
      <c r="D35" s="36" t="s">
        <v>44</v>
      </c>
      <c r="E35" s="11" t="s">
        <v>45</v>
      </c>
    </row>
    <row r="38" ht="15" spans="2:8">
      <c r="B38" s="19" t="s">
        <v>46</v>
      </c>
    </row>
    <row r="39" spans="2:8">
      <c r="B39" s="5" t="s">
        <v>47</v>
      </c>
      <c r="C39" s="5"/>
      <c r="D39" s="5"/>
      <c r="E39" s="5"/>
      <c r="F39" s="5"/>
      <c r="G39" s="5"/>
      <c r="H39" s="5"/>
    </row>
    <row r="40" spans="2:8">
      <c r="B40" s="2" t="s">
        <v>48</v>
      </c>
      <c r="C40" s="2" t="s">
        <v>49</v>
      </c>
    </row>
    <row r="41" spans="2:8">
      <c r="B41" s="20" t="s">
        <v>50</v>
      </c>
      <c r="C41" s="37">
        <v>8</v>
      </c>
    </row>
    <row r="42" spans="2:8">
      <c r="B42" s="20" t="s">
        <v>51</v>
      </c>
      <c r="C42" s="37">
        <v>12</v>
      </c>
    </row>
    <row r="43" spans="2:8">
      <c r="B43" s="20" t="s">
        <v>52</v>
      </c>
      <c r="C43" s="37">
        <v>8</v>
      </c>
    </row>
    <row r="44" spans="2:8">
      <c r="B44" s="20" t="s">
        <v>53</v>
      </c>
      <c r="C44" s="37">
        <v>10</v>
      </c>
    </row>
    <row r="45" spans="2:8">
      <c r="B45" s="20" t="s">
        <v>54</v>
      </c>
      <c r="C45" s="37">
        <v>10</v>
      </c>
    </row>
    <row r="46" spans="2:8">
      <c r="B46" s="20" t="s">
        <v>55</v>
      </c>
      <c r="C46" s="37">
        <v>10</v>
      </c>
    </row>
    <row r="47" spans="2:8">
      <c r="B47" s="20" t="s">
        <v>56</v>
      </c>
      <c r="C47" s="37">
        <v>7</v>
      </c>
    </row>
    <row r="48" spans="2:8">
      <c r="B48" s="20" t="s">
        <v>57</v>
      </c>
      <c r="C48" s="37">
        <v>7</v>
      </c>
    </row>
    <row r="49" spans="2:3">
      <c r="B49" s="20" t="s">
        <v>58</v>
      </c>
      <c r="C49" s="37">
        <v>12</v>
      </c>
    </row>
    <row r="50" spans="2:3">
      <c r="B50" s="20" t="s">
        <v>59</v>
      </c>
      <c r="C50" s="37">
        <v>10</v>
      </c>
    </row>
    <row r="51" spans="2:3">
      <c r="B51" s="20" t="s">
        <v>60</v>
      </c>
      <c r="C51" s="37">
        <v>6</v>
      </c>
    </row>
    <row r="52" spans="2:3">
      <c r="B52" s="38" t="s">
        <v>61</v>
      </c>
      <c r="C52" s="17">
        <f>SUM(C41:C51)</f>
        <v>100</v>
      </c>
    </row>
  </sheetData>
  <mergeCells count="8">
    <mergeCell ref="B3:H3"/>
    <mergeCell ref="B15:H15"/>
    <mergeCell ref="B16:H16"/>
    <mergeCell ref="B17:H17"/>
    <mergeCell ref="B18:H18"/>
    <mergeCell ref="B19:H19"/>
    <mergeCell ref="B29:H29"/>
    <mergeCell ref="B39:H3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showGridLines="0" workbookViewId="0">
      <pane xSplit="2" ySplit="4" topLeftCell="C25" activePane="bottomRight" state="frozen"/>
      <selection/>
      <selection pane="topRight"/>
      <selection pane="bottomLeft"/>
      <selection pane="bottomRight" activeCell="C30" sqref="C30"/>
    </sheetView>
  </sheetViews>
  <sheetFormatPr defaultColWidth="8.68141592920354" defaultRowHeight="14.25" outlineLevelCol="5"/>
  <cols>
    <col min="1" max="1" width="24" customWidth="1"/>
    <col min="2" max="2" width="6" customWidth="1"/>
    <col min="3" max="3" width="88" customWidth="1"/>
    <col min="4" max="4" width="15" customWidth="1"/>
    <col min="5" max="5" width="8" customWidth="1"/>
    <col min="6" max="6" width="34" customWidth="1"/>
  </cols>
  <sheetData>
    <row r="1" ht="16.85" spans="1:6">
      <c r="A1" s="21" t="s">
        <v>62</v>
      </c>
      <c r="B1" s="21"/>
      <c r="C1" s="21"/>
      <c r="D1" s="21"/>
      <c r="E1" s="21"/>
      <c r="F1" s="21"/>
    </row>
    <row r="2" spans="1:6">
      <c r="A2" s="5" t="s">
        <v>63</v>
      </c>
      <c r="B2" s="5"/>
      <c r="C2" s="5"/>
      <c r="D2" s="5"/>
      <c r="E2" s="5"/>
      <c r="F2" s="5"/>
    </row>
    <row r="4" ht="25.5" customHeight="1" spans="1:6">
      <c r="A4" s="2" t="s">
        <v>48</v>
      </c>
      <c r="B4" s="2" t="s">
        <v>64</v>
      </c>
      <c r="C4" s="2" t="s">
        <v>65</v>
      </c>
      <c r="D4" s="2" t="s">
        <v>66</v>
      </c>
      <c r="E4" s="2" t="s">
        <v>18</v>
      </c>
      <c r="F4" s="2" t="s">
        <v>67</v>
      </c>
    </row>
    <row r="5" ht="54" customHeight="1" spans="1:6">
      <c r="A5" s="22" t="s">
        <v>50</v>
      </c>
      <c r="B5" s="23" t="s">
        <v>68</v>
      </c>
      <c r="C5" s="24" t="s">
        <v>69</v>
      </c>
      <c r="D5" s="25"/>
      <c r="E5" s="23" t="str">
        <f>IF(D5="","",MATCH(D5,{"Non";"Partiellement";"Oui"},0)-1)</f>
        <v/>
      </c>
      <c r="F5" s="26"/>
    </row>
    <row r="6" ht="54" customHeight="1" spans="1:6">
      <c r="A6" s="22"/>
      <c r="B6" s="23" t="s">
        <v>70</v>
      </c>
      <c r="C6" s="24" t="s">
        <v>71</v>
      </c>
      <c r="D6" s="25"/>
      <c r="E6" s="23" t="str">
        <f>IF(D6="","",MATCH(D6,{"Non";"Partiellement";"Oui"},0)-1)</f>
        <v/>
      </c>
      <c r="F6" s="26"/>
    </row>
    <row r="7" ht="54" customHeight="1" spans="1:6">
      <c r="A7" s="27" t="s">
        <v>51</v>
      </c>
      <c r="B7" s="28" t="s">
        <v>72</v>
      </c>
      <c r="C7" s="29" t="s">
        <v>73</v>
      </c>
      <c r="D7" s="25"/>
      <c r="E7" s="28" t="str">
        <f>IF(D7="","",MATCH(D7,{"Non";"Partiellement";"Oui"},0)-1)</f>
        <v/>
      </c>
      <c r="F7" s="26"/>
    </row>
    <row r="8" ht="54" customHeight="1" spans="1:6">
      <c r="A8" s="27"/>
      <c r="B8" s="28" t="s">
        <v>74</v>
      </c>
      <c r="C8" s="29" t="s">
        <v>75</v>
      </c>
      <c r="D8" s="25"/>
      <c r="E8" s="28" t="str">
        <f>IF(D8="","",MATCH(D8,{"Non";"Partiellement";"Oui"},0)-1)</f>
        <v/>
      </c>
      <c r="F8" s="26"/>
    </row>
    <row r="9" ht="54" customHeight="1" spans="1:6">
      <c r="A9" s="22" t="s">
        <v>52</v>
      </c>
      <c r="B9" s="23" t="s">
        <v>76</v>
      </c>
      <c r="C9" s="24" t="s">
        <v>77</v>
      </c>
      <c r="D9" s="25"/>
      <c r="E9" s="23" t="str">
        <f>IF(D9="","",MATCH(D9,{"Non";"Partiellement";"Oui"},0)-1)</f>
        <v/>
      </c>
      <c r="F9" s="26"/>
    </row>
    <row r="10" ht="54" customHeight="1" spans="1:6">
      <c r="A10" s="22"/>
      <c r="B10" s="23" t="s">
        <v>78</v>
      </c>
      <c r="C10" s="24" t="s">
        <v>79</v>
      </c>
      <c r="D10" s="25"/>
      <c r="E10" s="23" t="str">
        <f>IF(D10="","",MATCH(D10,{"Non";"Partiellement";"Oui"},0)-1)</f>
        <v/>
      </c>
      <c r="F10" s="26"/>
    </row>
    <row r="11" ht="54" customHeight="1" spans="1:6">
      <c r="A11" s="27" t="s">
        <v>53</v>
      </c>
      <c r="B11" s="28" t="s">
        <v>80</v>
      </c>
      <c r="C11" s="29" t="s">
        <v>81</v>
      </c>
      <c r="D11" s="25"/>
      <c r="E11" s="28" t="str">
        <f>IF(D11="","",MATCH(D11,{"Non";"Partiellement";"Oui"},0)-1)</f>
        <v/>
      </c>
      <c r="F11" s="26"/>
    </row>
    <row r="12" ht="54" customHeight="1" spans="1:6">
      <c r="A12" s="27"/>
      <c r="B12" s="28" t="s">
        <v>82</v>
      </c>
      <c r="C12" s="29" t="s">
        <v>83</v>
      </c>
      <c r="D12" s="25"/>
      <c r="E12" s="28" t="str">
        <f>IF(D12="","",MATCH(D12,{"Non";"Partiellement";"Oui"},0)-1)</f>
        <v/>
      </c>
      <c r="F12" s="26"/>
    </row>
    <row r="13" ht="54" customHeight="1" spans="1:6">
      <c r="A13" s="22" t="s">
        <v>54</v>
      </c>
      <c r="B13" s="23" t="s">
        <v>84</v>
      </c>
      <c r="C13" s="24" t="s">
        <v>85</v>
      </c>
      <c r="D13" s="25"/>
      <c r="E13" s="23" t="str">
        <f>IF(D13="","",MATCH(D13,{"Non";"Partiellement";"Oui"},0)-1)</f>
        <v/>
      </c>
      <c r="F13" s="26"/>
    </row>
    <row r="14" ht="54" customHeight="1" spans="1:6">
      <c r="A14" s="22"/>
      <c r="B14" s="23" t="s">
        <v>86</v>
      </c>
      <c r="C14" s="24" t="s">
        <v>87</v>
      </c>
      <c r="D14" s="25"/>
      <c r="E14" s="23" t="str">
        <f>IF(D14="","",MATCH(D14,{"Non";"Partiellement";"Oui"},0)-1)</f>
        <v/>
      </c>
      <c r="F14" s="26"/>
    </row>
    <row r="15" ht="54" customHeight="1" spans="1:6">
      <c r="A15" s="27" t="s">
        <v>55</v>
      </c>
      <c r="B15" s="28" t="s">
        <v>88</v>
      </c>
      <c r="C15" s="29" t="s">
        <v>89</v>
      </c>
      <c r="D15" s="25"/>
      <c r="E15" s="28" t="str">
        <f>IF(D15="","",MATCH(D15,{"Non";"Partiellement";"Oui"},0)-1)</f>
        <v/>
      </c>
      <c r="F15" s="26"/>
    </row>
    <row r="16" ht="54" customHeight="1" spans="1:6">
      <c r="A16" s="27"/>
      <c r="B16" s="28" t="s">
        <v>90</v>
      </c>
      <c r="C16" s="29" t="s">
        <v>91</v>
      </c>
      <c r="D16" s="25"/>
      <c r="E16" s="28" t="str">
        <f>IF(D16="","",MATCH(D16,{"Non";"Partiellement";"Oui"},0)-1)</f>
        <v/>
      </c>
      <c r="F16" s="26"/>
    </row>
    <row r="17" ht="54" customHeight="1" spans="1:6">
      <c r="A17" s="22" t="s">
        <v>56</v>
      </c>
      <c r="B17" s="23" t="s">
        <v>92</v>
      </c>
      <c r="C17" s="24" t="s">
        <v>93</v>
      </c>
      <c r="D17" s="25"/>
      <c r="E17" s="23" t="str">
        <f>IF(D17="","",MATCH(D17,{"Non";"Partiellement";"Oui"},0)-1)</f>
        <v/>
      </c>
      <c r="F17" s="26"/>
    </row>
    <row r="18" ht="54" customHeight="1" spans="1:6">
      <c r="A18" s="22"/>
      <c r="B18" s="23" t="s">
        <v>94</v>
      </c>
      <c r="C18" s="24" t="s">
        <v>95</v>
      </c>
      <c r="D18" s="25"/>
      <c r="E18" s="23" t="str">
        <f>IF(D18="","",MATCH(D18,{"Non";"Partiellement";"Oui"},0)-1)</f>
        <v/>
      </c>
      <c r="F18" s="26"/>
    </row>
    <row r="19" ht="54" customHeight="1" spans="1:6">
      <c r="A19" s="27" t="s">
        <v>57</v>
      </c>
      <c r="B19" s="28" t="s">
        <v>96</v>
      </c>
      <c r="C19" s="29" t="s">
        <v>97</v>
      </c>
      <c r="D19" s="25"/>
      <c r="E19" s="28" t="str">
        <f>IF(D19="","",MATCH(D19,{"Non";"Partiellement";"Oui"},0)-1)</f>
        <v/>
      </c>
      <c r="F19" s="26"/>
    </row>
    <row r="20" ht="54" customHeight="1" spans="1:6">
      <c r="A20" s="27"/>
      <c r="B20" s="28" t="s">
        <v>98</v>
      </c>
      <c r="C20" s="29" t="s">
        <v>99</v>
      </c>
      <c r="D20" s="25"/>
      <c r="E20" s="28" t="str">
        <f>IF(D20="","",MATCH(D20,{"Non";"Partiellement";"Oui"},0)-1)</f>
        <v/>
      </c>
      <c r="F20" s="26"/>
    </row>
    <row r="21" ht="54" customHeight="1" spans="1:6">
      <c r="A21" s="22" t="s">
        <v>58</v>
      </c>
      <c r="B21" s="23" t="s">
        <v>100</v>
      </c>
      <c r="C21" s="24" t="s">
        <v>101</v>
      </c>
      <c r="D21" s="25"/>
      <c r="E21" s="23" t="str">
        <f>IF(D21="","",MATCH(D21,{"Non";"Partiellement";"Oui"},0)-1)</f>
        <v/>
      </c>
      <c r="F21" s="26"/>
    </row>
    <row r="22" ht="54" customHeight="1" spans="1:6">
      <c r="A22" s="22"/>
      <c r="B22" s="23" t="s">
        <v>102</v>
      </c>
      <c r="C22" s="24" t="s">
        <v>103</v>
      </c>
      <c r="D22" s="25"/>
      <c r="E22" s="23" t="str">
        <f>IF(D22="","",MATCH(D22,{"Non";"Partiellement";"Oui"},0)-1)</f>
        <v/>
      </c>
      <c r="F22" s="26"/>
    </row>
    <row r="23" ht="54" customHeight="1" spans="1:6">
      <c r="A23" s="27" t="s">
        <v>59</v>
      </c>
      <c r="B23" s="28" t="s">
        <v>104</v>
      </c>
      <c r="C23" s="29" t="s">
        <v>105</v>
      </c>
      <c r="D23" s="25"/>
      <c r="E23" s="28" t="str">
        <f>IF(D23="","",MATCH(D23,{"Non";"Partiellement";"Oui"},0)-1)</f>
        <v/>
      </c>
      <c r="F23" s="26"/>
    </row>
    <row r="24" ht="54" customHeight="1" spans="1:6">
      <c r="A24" s="27"/>
      <c r="B24" s="28" t="s">
        <v>106</v>
      </c>
      <c r="C24" s="29" t="s">
        <v>107</v>
      </c>
      <c r="D24" s="25"/>
      <c r="E24" s="28" t="str">
        <f>IF(D24="","",MATCH(D24,{"Non";"Partiellement";"Oui"},0)-1)</f>
        <v/>
      </c>
      <c r="F24" s="26"/>
    </row>
    <row r="25" ht="54" customHeight="1" spans="1:6">
      <c r="A25" s="22" t="s">
        <v>60</v>
      </c>
      <c r="B25" s="23" t="s">
        <v>108</v>
      </c>
      <c r="C25" s="24" t="s">
        <v>109</v>
      </c>
      <c r="D25" s="25"/>
      <c r="E25" s="23" t="str">
        <f>IF(D25="","",MATCH(D25,{"Non";"Partiellement";"Oui"},0)-1)</f>
        <v/>
      </c>
      <c r="F25" s="26"/>
    </row>
    <row r="26" ht="54" customHeight="1" spans="1:6">
      <c r="A26" s="22"/>
      <c r="B26" s="23" t="s">
        <v>110</v>
      </c>
      <c r="C26" s="24" t="s">
        <v>111</v>
      </c>
      <c r="D26" s="25"/>
      <c r="E26" s="23" t="str">
        <f>IF(D26="","",MATCH(D26,{"Non";"Partiellement";"Oui"},0)-1)</f>
        <v/>
      </c>
      <c r="F26" s="26"/>
    </row>
    <row r="28" spans="1:6">
      <c r="C28" s="30" t="s">
        <v>112</v>
      </c>
      <c r="D28" s="31" t="str">
        <f>COUNTA(D5:D26)&amp;" / 22"</f>
        <v>0 / 22</v>
      </c>
    </row>
  </sheetData>
  <mergeCells count="13">
    <mergeCell ref="A1:F1"/>
    <mergeCell ref="A2:F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</mergeCells>
  <dataValidations count="1">
    <dataValidation type="list" allowBlank="1" errorTitle="Réponse invalide" error="Sélectionnez Non, Partiellement ou Oui." sqref="D5:D26">
      <formula1>"Non,Partiellement,Oui"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26"/>
  <sheetViews>
    <sheetView showGridLines="0" workbookViewId="0">
      <selection activeCell="A1" sqref="A1"/>
    </sheetView>
  </sheetViews>
  <sheetFormatPr defaultColWidth="8.68141592920354" defaultRowHeight="14.25"/>
  <cols>
    <col min="1" max="1" width="2" customWidth="1"/>
    <col min="2" max="2" width="32" customWidth="1"/>
    <col min="3" max="4" width="10" customWidth="1"/>
    <col min="5" max="5" width="8" customWidth="1"/>
    <col min="6" max="6" width="18" customWidth="1"/>
    <col min="7" max="7" width="11" customWidth="1"/>
    <col min="16" max="17" width="13" hidden="1" customWidth="1"/>
  </cols>
  <sheetData>
    <row r="2" ht="20.6" spans="2:17">
      <c r="B2" s="4" t="s">
        <v>113</v>
      </c>
    </row>
    <row r="3" spans="2:17">
      <c r="B3" s="10" t="s">
        <v>114</v>
      </c>
    </row>
    <row r="5" spans="2:17">
      <c r="B5" s="2" t="s">
        <v>48</v>
      </c>
      <c r="C5" s="2" t="s">
        <v>115</v>
      </c>
      <c r="D5" s="2" t="s">
        <v>28</v>
      </c>
      <c r="E5" s="2" t="s">
        <v>49</v>
      </c>
      <c r="F5" s="2" t="s">
        <v>116</v>
      </c>
      <c r="G5" s="2" t="s">
        <v>117</v>
      </c>
    </row>
    <row r="6" spans="2:17">
      <c r="B6" s="11" t="s">
        <v>50</v>
      </c>
      <c r="C6" s="12" t="str">
        <f>IF(COUNTA('1. Questionnaire'!D5:D6)&lt;2,"",SUM('1. Questionnaire'!E5:E6))</f>
        <v/>
      </c>
      <c r="D6" s="13" t="str">
        <f t="shared" ref="D6:D16" si="0">IF(C6="","",C6/4)</f>
        <v/>
      </c>
      <c r="E6" s="12">
        <f>'0. Notice'!C41</f>
        <v>8</v>
      </c>
      <c r="F6" s="11" t="str">
        <f>IF(C6="","—",INDEX('0. Notice'!$D$31:$D$35,C6+1))</f>
        <v>—</v>
      </c>
      <c r="G6" s="12" t="str">
        <f>COUNTA('1. Questionnaire'!D5:D6)&amp;" / 2"</f>
        <v>0 / 2</v>
      </c>
      <c r="P6">
        <f t="shared" ref="P6:P16" si="1">IF(C6="",0,D6*E6)</f>
        <v>0</v>
      </c>
      <c r="Q6">
        <f t="shared" ref="Q6:Q16" si="2">IF(C6="",0,E6)</f>
        <v>0</v>
      </c>
    </row>
    <row r="7" spans="2:17">
      <c r="B7" s="11" t="s">
        <v>51</v>
      </c>
      <c r="C7" s="12" t="str">
        <f>IF(COUNTA('1. Questionnaire'!D7:D8)&lt;2,"",SUM('1. Questionnaire'!E7:E8))</f>
        <v/>
      </c>
      <c r="D7" s="13" t="str">
        <f t="shared" si="0"/>
        <v/>
      </c>
      <c r="E7" s="12">
        <f>'0. Notice'!C42</f>
        <v>12</v>
      </c>
      <c r="F7" s="11" t="str">
        <f>IF(C7="","—",INDEX('0. Notice'!$D$31:$D$35,C7+1))</f>
        <v>—</v>
      </c>
      <c r="G7" s="12" t="str">
        <f>COUNTA('1. Questionnaire'!D7:D8)&amp;" / 2"</f>
        <v>0 / 2</v>
      </c>
      <c r="P7">
        <f t="shared" si="1"/>
        <v>0</v>
      </c>
      <c r="Q7">
        <f t="shared" si="2"/>
        <v>0</v>
      </c>
    </row>
    <row r="8" spans="2:17">
      <c r="B8" s="11" t="s">
        <v>52</v>
      </c>
      <c r="C8" s="12" t="str">
        <f>IF(COUNTA('1. Questionnaire'!D9:D10)&lt;2,"",SUM('1. Questionnaire'!E9:E10))</f>
        <v/>
      </c>
      <c r="D8" s="13" t="str">
        <f t="shared" si="0"/>
        <v/>
      </c>
      <c r="E8" s="12">
        <f>'0. Notice'!C43</f>
        <v>8</v>
      </c>
      <c r="F8" s="11" t="str">
        <f>IF(C8="","—",INDEX('0. Notice'!$D$31:$D$35,C8+1))</f>
        <v>—</v>
      </c>
      <c r="G8" s="12" t="str">
        <f>COUNTA('1. Questionnaire'!D9:D10)&amp;" / 2"</f>
        <v>0 / 2</v>
      </c>
      <c r="P8">
        <f t="shared" si="1"/>
        <v>0</v>
      </c>
      <c r="Q8">
        <f t="shared" si="2"/>
        <v>0</v>
      </c>
    </row>
    <row r="9" spans="2:17">
      <c r="B9" s="11" t="s">
        <v>53</v>
      </c>
      <c r="C9" s="12" t="str">
        <f>IF(COUNTA('1. Questionnaire'!D11:D12)&lt;2,"",SUM('1. Questionnaire'!E11:E12))</f>
        <v/>
      </c>
      <c r="D9" s="13" t="str">
        <f t="shared" si="0"/>
        <v/>
      </c>
      <c r="E9" s="12">
        <f>'0. Notice'!C44</f>
        <v>10</v>
      </c>
      <c r="F9" s="11" t="str">
        <f>IF(C9="","—",INDEX('0. Notice'!$D$31:$D$35,C9+1))</f>
        <v>—</v>
      </c>
      <c r="G9" s="12" t="str">
        <f>COUNTA('1. Questionnaire'!D11:D12)&amp;" / 2"</f>
        <v>0 / 2</v>
      </c>
      <c r="P9">
        <f t="shared" si="1"/>
        <v>0</v>
      </c>
      <c r="Q9">
        <f t="shared" si="2"/>
        <v>0</v>
      </c>
    </row>
    <row r="10" spans="2:17">
      <c r="B10" s="11" t="s">
        <v>54</v>
      </c>
      <c r="C10" s="12" t="str">
        <f>IF(COUNTA('1. Questionnaire'!D13:D14)&lt;2,"",SUM('1. Questionnaire'!E13:E14))</f>
        <v/>
      </c>
      <c r="D10" s="13" t="str">
        <f t="shared" si="0"/>
        <v/>
      </c>
      <c r="E10" s="12">
        <f>'0. Notice'!C45</f>
        <v>10</v>
      </c>
      <c r="F10" s="11" t="str">
        <f>IF(C10="","—",INDEX('0. Notice'!$D$31:$D$35,C10+1))</f>
        <v>—</v>
      </c>
      <c r="G10" s="12" t="str">
        <f>COUNTA('1. Questionnaire'!D13:D14)&amp;" / 2"</f>
        <v>0 / 2</v>
      </c>
      <c r="P10">
        <f t="shared" si="1"/>
        <v>0</v>
      </c>
      <c r="Q10">
        <f t="shared" si="2"/>
        <v>0</v>
      </c>
    </row>
    <row r="11" spans="2:17">
      <c r="B11" s="11" t="s">
        <v>55</v>
      </c>
      <c r="C11" s="12" t="str">
        <f>IF(COUNTA('1. Questionnaire'!D15:D16)&lt;2,"",SUM('1. Questionnaire'!E15:E16))</f>
        <v/>
      </c>
      <c r="D11" s="13" t="str">
        <f t="shared" si="0"/>
        <v/>
      </c>
      <c r="E11" s="12">
        <f>'0. Notice'!C46</f>
        <v>10</v>
      </c>
      <c r="F11" s="11" t="str">
        <f>IF(C11="","—",INDEX('0. Notice'!$D$31:$D$35,C11+1))</f>
        <v>—</v>
      </c>
      <c r="G11" s="12" t="str">
        <f>COUNTA('1. Questionnaire'!D15:D16)&amp;" / 2"</f>
        <v>0 / 2</v>
      </c>
      <c r="P11">
        <f t="shared" si="1"/>
        <v>0</v>
      </c>
      <c r="Q11">
        <f t="shared" si="2"/>
        <v>0</v>
      </c>
    </row>
    <row r="12" spans="2:17">
      <c r="B12" s="11" t="s">
        <v>56</v>
      </c>
      <c r="C12" s="12" t="str">
        <f>IF(COUNTA('1. Questionnaire'!D17:D18)&lt;2,"",SUM('1. Questionnaire'!E17:E18))</f>
        <v/>
      </c>
      <c r="D12" s="13" t="str">
        <f t="shared" si="0"/>
        <v/>
      </c>
      <c r="E12" s="12">
        <f>'0. Notice'!C47</f>
        <v>7</v>
      </c>
      <c r="F12" s="11" t="str">
        <f>IF(C12="","—",INDEX('0. Notice'!$D$31:$D$35,C12+1))</f>
        <v>—</v>
      </c>
      <c r="G12" s="12" t="str">
        <f>COUNTA('1. Questionnaire'!D17:D18)&amp;" / 2"</f>
        <v>0 / 2</v>
      </c>
      <c r="P12">
        <f t="shared" si="1"/>
        <v>0</v>
      </c>
      <c r="Q12">
        <f t="shared" si="2"/>
        <v>0</v>
      </c>
    </row>
    <row r="13" spans="2:17">
      <c r="B13" s="11" t="s">
        <v>57</v>
      </c>
      <c r="C13" s="12" t="str">
        <f>IF(COUNTA('1. Questionnaire'!D19:D20)&lt;2,"",SUM('1. Questionnaire'!E19:E20))</f>
        <v/>
      </c>
      <c r="D13" s="13" t="str">
        <f t="shared" si="0"/>
        <v/>
      </c>
      <c r="E13" s="12">
        <f>'0. Notice'!C48</f>
        <v>7</v>
      </c>
      <c r="F13" s="11" t="str">
        <f>IF(C13="","—",INDEX('0. Notice'!$D$31:$D$35,C13+1))</f>
        <v>—</v>
      </c>
      <c r="G13" s="12" t="str">
        <f>COUNTA('1. Questionnaire'!D19:D20)&amp;" / 2"</f>
        <v>0 / 2</v>
      </c>
      <c r="P13">
        <f t="shared" si="1"/>
        <v>0</v>
      </c>
      <c r="Q13">
        <f t="shared" si="2"/>
        <v>0</v>
      </c>
    </row>
    <row r="14" spans="2:17">
      <c r="B14" s="11" t="s">
        <v>58</v>
      </c>
      <c r="C14" s="12" t="str">
        <f>IF(COUNTA('1. Questionnaire'!D21:D22)&lt;2,"",SUM('1. Questionnaire'!E21:E22))</f>
        <v/>
      </c>
      <c r="D14" s="13" t="str">
        <f t="shared" si="0"/>
        <v/>
      </c>
      <c r="E14" s="12">
        <f>'0. Notice'!C49</f>
        <v>12</v>
      </c>
      <c r="F14" s="11" t="str">
        <f>IF(C14="","—",INDEX('0. Notice'!$D$31:$D$35,C14+1))</f>
        <v>—</v>
      </c>
      <c r="G14" s="12" t="str">
        <f>COUNTA('1. Questionnaire'!D21:D22)&amp;" / 2"</f>
        <v>0 / 2</v>
      </c>
      <c r="P14">
        <f t="shared" si="1"/>
        <v>0</v>
      </c>
      <c r="Q14">
        <f t="shared" si="2"/>
        <v>0</v>
      </c>
    </row>
    <row r="15" spans="2:17">
      <c r="B15" s="11" t="s">
        <v>59</v>
      </c>
      <c r="C15" s="12" t="str">
        <f>IF(COUNTA('1. Questionnaire'!D23:D24)&lt;2,"",SUM('1. Questionnaire'!E23:E24))</f>
        <v/>
      </c>
      <c r="D15" s="13" t="str">
        <f t="shared" si="0"/>
        <v/>
      </c>
      <c r="E15" s="12">
        <f>'0. Notice'!C50</f>
        <v>10</v>
      </c>
      <c r="F15" s="11" t="str">
        <f>IF(C15="","—",INDEX('0. Notice'!$D$31:$D$35,C15+1))</f>
        <v>—</v>
      </c>
      <c r="G15" s="12" t="str">
        <f>COUNTA('1. Questionnaire'!D23:D24)&amp;" / 2"</f>
        <v>0 / 2</v>
      </c>
      <c r="P15">
        <f t="shared" si="1"/>
        <v>0</v>
      </c>
      <c r="Q15">
        <f t="shared" si="2"/>
        <v>0</v>
      </c>
    </row>
    <row r="16" spans="2:17">
      <c r="B16" s="11" t="s">
        <v>60</v>
      </c>
      <c r="C16" s="12" t="str">
        <f>IF(COUNTA('1. Questionnaire'!D25:D26)&lt;2,"",SUM('1. Questionnaire'!E25:E26))</f>
        <v/>
      </c>
      <c r="D16" s="13" t="str">
        <f t="shared" si="0"/>
        <v/>
      </c>
      <c r="E16" s="12">
        <f>'0. Notice'!C51</f>
        <v>6</v>
      </c>
      <c r="F16" s="11" t="str">
        <f>IF(C16="","—",INDEX('0. Notice'!$D$31:$D$35,C16+1))</f>
        <v>—</v>
      </c>
      <c r="G16" s="12" t="str">
        <f>COUNTA('1. Questionnaire'!D25:D26)&amp;" / 2"</f>
        <v>0 / 2</v>
      </c>
      <c r="P16">
        <f t="shared" si="1"/>
        <v>0</v>
      </c>
      <c r="Q16">
        <f t="shared" si="2"/>
        <v>0</v>
      </c>
    </row>
    <row r="17" ht="15" spans="2:7">
      <c r="B17" s="14" t="s">
        <v>118</v>
      </c>
      <c r="C17" s="15"/>
      <c r="D17" s="16" t="str">
        <f>IF(SUM(Q6:Q16)=0,"",SUM(P6:P16)/SUM(Q6:Q16))</f>
        <v/>
      </c>
      <c r="E17" s="17">
        <f>SUM(E6:E16)</f>
        <v>100</v>
      </c>
      <c r="F17" s="18" t="str">
        <f>IF(D17="","—",INDEX('0. Notice'!$D$31:$D$35,MATCH(D17,{0;0.125;0.375;0.625;0.875},1)))</f>
        <v>—</v>
      </c>
      <c r="G17" s="15"/>
    </row>
    <row r="20" ht="15" spans="2:7">
      <c r="B20" s="19" t="s">
        <v>119</v>
      </c>
    </row>
    <row r="21" spans="2:7">
      <c r="B21" s="2" t="s">
        <v>120</v>
      </c>
      <c r="C21" s="2" t="s">
        <v>29</v>
      </c>
    </row>
    <row r="22" spans="2:7">
      <c r="B22" s="20" t="s">
        <v>121</v>
      </c>
      <c r="C22" s="20" t="s">
        <v>32</v>
      </c>
    </row>
    <row r="23" spans="2:7">
      <c r="B23" s="20" t="s">
        <v>122</v>
      </c>
      <c r="C23" s="20" t="s">
        <v>35</v>
      </c>
    </row>
    <row r="24" spans="2:7">
      <c r="B24" s="20" t="s">
        <v>123</v>
      </c>
      <c r="C24" s="20" t="s">
        <v>38</v>
      </c>
    </row>
    <row r="25" spans="2:7">
      <c r="B25" s="20" t="s">
        <v>124</v>
      </c>
      <c r="C25" s="20" t="s">
        <v>41</v>
      </c>
    </row>
    <row r="26" spans="2:7">
      <c r="B26" s="20" t="s">
        <v>125</v>
      </c>
      <c r="C26" s="20" t="s">
        <v>44</v>
      </c>
    </row>
  </sheetData>
  <conditionalFormatting sqref="D6:D16">
    <cfRule type="cellIs" dxfId="0" priority="2" operator="lessThanOrEqual">
      <formula>0.25</formula>
    </cfRule>
    <cfRule type="cellIs" dxfId="1" priority="3" operator="between">
      <formula>0.26</formula>
      <formula>0.5</formula>
    </cfRule>
    <cfRule type="cellIs" dxfId="2" priority="4" operator="between">
      <formula>0.51</formula>
      <formula>0.75</formula>
    </cfRule>
    <cfRule type="cellIs" dxfId="3" priority="5" operator="greaterThan">
      <formula>0.75</formula>
    </cfRule>
  </conditionalFormatting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workbookViewId="0">
      <pane ySplit="4" topLeftCell="A5" activePane="bottomLeft" state="frozen"/>
      <selection/>
      <selection pane="bottomLeft" activeCell="B5" sqref="B5"/>
    </sheetView>
  </sheetViews>
  <sheetFormatPr defaultColWidth="8.68141592920354" defaultRowHeight="14.25" outlineLevelCol="5"/>
  <cols>
    <col min="1" max="1" width="24" customWidth="1"/>
    <col min="2" max="2" width="9" customWidth="1"/>
    <col min="3" max="3" width="15" customWidth="1"/>
    <col min="4" max="4" width="48" customWidth="1"/>
    <col min="5" max="6" width="56" customWidth="1"/>
  </cols>
  <sheetData>
    <row r="1" ht="20.6" spans="1:6">
      <c r="A1" s="4" t="s">
        <v>126</v>
      </c>
    </row>
    <row r="2" spans="1:6">
      <c r="A2" s="5" t="s">
        <v>127</v>
      </c>
      <c r="B2" s="5"/>
      <c r="C2" s="5"/>
      <c r="D2" s="5"/>
      <c r="E2" s="5"/>
      <c r="F2" s="5"/>
    </row>
    <row r="4" spans="1:6">
      <c r="A4" s="2" t="s">
        <v>48</v>
      </c>
      <c r="B4" s="2" t="s">
        <v>28</v>
      </c>
      <c r="C4" s="2" t="s">
        <v>29</v>
      </c>
      <c r="D4" s="2" t="s">
        <v>128</v>
      </c>
      <c r="E4" s="2" t="s">
        <v>129</v>
      </c>
      <c r="F4" s="2" t="s">
        <v>130</v>
      </c>
    </row>
    <row r="5" ht="75.75" customHeight="1" spans="1:6">
      <c r="A5" s="6" t="str">
        <f>'2. Résultats'!B6</f>
        <v>1. Stratégie</v>
      </c>
      <c r="B5" s="7" t="str">
        <f>'2. Résultats'!D6</f>
        <v/>
      </c>
      <c r="C5" s="8" t="str">
        <f>'2. Résultats'!F6</f>
        <v>—</v>
      </c>
      <c r="D5" s="9" t="str">
        <f>IFERROR(INDEX('4. Référentiel recos'!$D$4:$D$58,MATCH('2. Résultats'!$B$6&amp;"|"&amp;'2. Résultats'!$F$6,'4. Référentiel recos'!$A$4:$A$58,0)),"Complétez les 2 affirmations de cette dimension.")</f>
        <v>Complétez les 2 affirmations de cette dimension.</v>
      </c>
      <c r="E5" s="9" t="str">
        <f>IFERROR(INDEX('4. Référentiel recos'!$E$4:$E$58,MATCH('2. Résultats'!$B$6&amp;"|"&amp;'2. Résultats'!$F$6,'4. Référentiel recos'!$A$4:$A$58,0)),"Complétez les 2 affirmations de cette dimension.")</f>
        <v>Complétez les 2 affirmations de cette dimension.</v>
      </c>
      <c r="F5" s="9" t="str">
        <f>IFERROR(INDEX('4. Référentiel recos'!$F$4:$F$58,MATCH('2. Résultats'!$B$6&amp;"|"&amp;'2. Résultats'!$F$6,'4. Référentiel recos'!$A$4:$A$58,0)),"Complétez les 2 affirmations de cette dimension.")</f>
        <v>Complétez les 2 affirmations de cette dimension.</v>
      </c>
    </row>
    <row r="6" ht="75.75" customHeight="1" spans="1:6">
      <c r="A6" s="6" t="str">
        <f>'2. Résultats'!B7</f>
        <v>2. Gouvernance</v>
      </c>
      <c r="B6" s="7" t="str">
        <f>'2. Résultats'!D7</f>
        <v/>
      </c>
      <c r="C6" s="8" t="str">
        <f>'2. Résultats'!F7</f>
        <v>—</v>
      </c>
      <c r="D6" s="9" t="str">
        <f>IFERROR(INDEX('4. Référentiel recos'!$D$4:$D$58,MATCH('2. Résultats'!$B$7&amp;"|"&amp;'2. Résultats'!$F$7,'4. Référentiel recos'!$A$4:$A$58,0)),"Complétez les 2 affirmations de cette dimension.")</f>
        <v>Complétez les 2 affirmations de cette dimension.</v>
      </c>
      <c r="E6" s="9" t="str">
        <f>IFERROR(INDEX('4. Référentiel recos'!$E$4:$E$58,MATCH('2. Résultats'!$B$7&amp;"|"&amp;'2. Résultats'!$F$7,'4. Référentiel recos'!$A$4:$A$58,0)),"Complétez les 2 affirmations de cette dimension.")</f>
        <v>Complétez les 2 affirmations de cette dimension.</v>
      </c>
      <c r="F6" s="9" t="str">
        <f>IFERROR(INDEX('4. Référentiel recos'!$F$4:$F$58,MATCH('2. Résultats'!$B$7&amp;"|"&amp;'2. Résultats'!$F$7,'4. Référentiel recos'!$A$4:$A$58,0)),"Complétez les 2 affirmations de cette dimension.")</f>
        <v>Complétez les 2 affirmations de cette dimension.</v>
      </c>
    </row>
    <row r="7" ht="75.75" customHeight="1" spans="1:6">
      <c r="A7" s="6" t="str">
        <f>'2. Résultats'!B8</f>
        <v>3. Culture</v>
      </c>
      <c r="B7" s="7" t="str">
        <f>'2. Résultats'!D8</f>
        <v/>
      </c>
      <c r="C7" s="8" t="str">
        <f>'2. Résultats'!F8</f>
        <v>—</v>
      </c>
      <c r="D7" s="9" t="str">
        <f>IFERROR(INDEX('4. Référentiel recos'!$D$4:$D$58,MATCH('2. Résultats'!$B$8&amp;"|"&amp;'2. Résultats'!$F$8,'4. Référentiel recos'!$A$4:$A$58,0)),"Complétez les 2 affirmations de cette dimension.")</f>
        <v>Complétez les 2 affirmations de cette dimension.</v>
      </c>
      <c r="E7" s="9" t="str">
        <f>IFERROR(INDEX('4. Référentiel recos'!$E$4:$E$58,MATCH('2. Résultats'!$B$8&amp;"|"&amp;'2. Résultats'!$F$8,'4. Référentiel recos'!$A$4:$A$58,0)),"Complétez les 2 affirmations de cette dimension.")</f>
        <v>Complétez les 2 affirmations de cette dimension.</v>
      </c>
      <c r="F7" s="9" t="str">
        <f>IFERROR(INDEX('4. Référentiel recos'!$F$4:$F$58,MATCH('2. Résultats'!$B$8&amp;"|"&amp;'2. Résultats'!$F$8,'4. Référentiel recos'!$A$4:$A$58,0)),"Complétez les 2 affirmations de cette dimension.")</f>
        <v>Complétez les 2 affirmations de cette dimension.</v>
      </c>
    </row>
    <row r="8" ht="75.75" customHeight="1" spans="1:6">
      <c r="A8" s="6" t="str">
        <f>'2. Résultats'!B9</f>
        <v>4. Identification des risques</v>
      </c>
      <c r="B8" s="7" t="str">
        <f>'2. Résultats'!D9</f>
        <v/>
      </c>
      <c r="C8" s="8" t="str">
        <f>'2. Résultats'!F9</f>
        <v>—</v>
      </c>
      <c r="D8" s="9" t="str">
        <f>IFERROR(INDEX('4. Référentiel recos'!$D$4:$D$58,MATCH('2. Résultats'!$B$9&amp;"|"&amp;'2. Résultats'!$F$9,'4. Référentiel recos'!$A$4:$A$58,0)),"Complétez les 2 affirmations de cette dimension.")</f>
        <v>Complétez les 2 affirmations de cette dimension.</v>
      </c>
      <c r="E8" s="9" t="str">
        <f>IFERROR(INDEX('4. Référentiel recos'!$E$4:$E$58,MATCH('2. Résultats'!$B$9&amp;"|"&amp;'2. Résultats'!$F$9,'4. Référentiel recos'!$A$4:$A$58,0)),"Complétez les 2 affirmations de cette dimension.")</f>
        <v>Complétez les 2 affirmations de cette dimension.</v>
      </c>
      <c r="F8" s="9" t="str">
        <f>IFERROR(INDEX('4. Référentiel recos'!$F$4:$F$58,MATCH('2. Résultats'!$B$9&amp;"|"&amp;'2. Résultats'!$F$9,'4. Référentiel recos'!$A$4:$A$58,0)),"Complétez les 2 affirmations de cette dimension.")</f>
        <v>Complétez les 2 affirmations de cette dimension.</v>
      </c>
    </row>
    <row r="9" ht="75.75" customHeight="1" spans="1:6">
      <c r="A9" s="6" t="str">
        <f>'2. Résultats'!B10</f>
        <v>5. Analyse et évaluation des risques</v>
      </c>
      <c r="B9" s="7" t="str">
        <f>'2. Résultats'!D10</f>
        <v/>
      </c>
      <c r="C9" s="8" t="str">
        <f>'2. Résultats'!F10</f>
        <v>—</v>
      </c>
      <c r="D9" s="9" t="str">
        <f>IFERROR(INDEX('4. Référentiel recos'!$D$4:$D$58,MATCH('2. Résultats'!$B$10&amp;"|"&amp;'2. Résultats'!$F$10,'4. Référentiel recos'!$A$4:$A$58,0)),"Complétez les 2 affirmations de cette dimension.")</f>
        <v>Complétez les 2 affirmations de cette dimension.</v>
      </c>
      <c r="E9" s="9" t="str">
        <f>IFERROR(INDEX('4. Référentiel recos'!$E$4:$E$58,MATCH('2. Résultats'!$B$10&amp;"|"&amp;'2. Résultats'!$F$10,'4. Référentiel recos'!$A$4:$A$58,0)),"Complétez les 2 affirmations de cette dimension.")</f>
        <v>Complétez les 2 affirmations de cette dimension.</v>
      </c>
      <c r="F9" s="9" t="str">
        <f>IFERROR(INDEX('4. Référentiel recos'!$F$4:$F$58,MATCH('2. Résultats'!$B$10&amp;"|"&amp;'2. Résultats'!$F$10,'4. Référentiel recos'!$A$4:$A$58,0)),"Complétez les 2 affirmations de cette dimension.")</f>
        <v>Complétez les 2 affirmations de cette dimension.</v>
      </c>
    </row>
    <row r="10" ht="75.75" customHeight="1" spans="1:6">
      <c r="A10" s="6" t="str">
        <f>'2. Résultats'!B11</f>
        <v>6. Traitement des risques</v>
      </c>
      <c r="B10" s="7" t="str">
        <f>'2. Résultats'!D11</f>
        <v/>
      </c>
      <c r="C10" s="8" t="str">
        <f>'2. Résultats'!F11</f>
        <v>—</v>
      </c>
      <c r="D10" s="9" t="str">
        <f>IFERROR(INDEX('4. Référentiel recos'!$D$4:$D$58,MATCH('2. Résultats'!$B$11&amp;"|"&amp;'2. Résultats'!$F$11,'4. Référentiel recos'!$A$4:$A$58,0)),"Complétez les 2 affirmations de cette dimension.")</f>
        <v>Complétez les 2 affirmations de cette dimension.</v>
      </c>
      <c r="E10" s="9" t="str">
        <f>IFERROR(INDEX('4. Référentiel recos'!$E$4:$E$58,MATCH('2. Résultats'!$B$11&amp;"|"&amp;'2. Résultats'!$F$11,'4. Référentiel recos'!$A$4:$A$58,0)),"Complétez les 2 affirmations de cette dimension.")</f>
        <v>Complétez les 2 affirmations de cette dimension.</v>
      </c>
      <c r="F10" s="9" t="str">
        <f>IFERROR(INDEX('4. Référentiel recos'!$F$4:$F$58,MATCH('2. Résultats'!$B$11&amp;"|"&amp;'2. Résultats'!$F$11,'4. Référentiel recos'!$A$4:$A$58,0)),"Complétez les 2 affirmations de cette dimension.")</f>
        <v>Complétez les 2 affirmations de cette dimension.</v>
      </c>
    </row>
    <row r="11" ht="75.75" customHeight="1" spans="1:6">
      <c r="A11" s="6" t="str">
        <f>'2. Résultats'!B12</f>
        <v>7. Revue et révision</v>
      </c>
      <c r="B11" s="7" t="str">
        <f>'2. Résultats'!D12</f>
        <v/>
      </c>
      <c r="C11" s="8" t="str">
        <f>'2. Résultats'!F12</f>
        <v>—</v>
      </c>
      <c r="D11" s="9" t="str">
        <f>IFERROR(INDEX('4. Référentiel recos'!$D$4:$D$58,MATCH('2. Résultats'!$B$12&amp;"|"&amp;'2. Résultats'!$F$12,'4. Référentiel recos'!$A$4:$A$58,0)),"Complétez les 2 affirmations de cette dimension.")</f>
        <v>Complétez les 2 affirmations de cette dimension.</v>
      </c>
      <c r="E11" s="9" t="str">
        <f>IFERROR(INDEX('4. Référentiel recos'!$E$4:$E$58,MATCH('2. Résultats'!$B$12&amp;"|"&amp;'2. Résultats'!$F$12,'4. Référentiel recos'!$A$4:$A$58,0)),"Complétez les 2 affirmations de cette dimension.")</f>
        <v>Complétez les 2 affirmations de cette dimension.</v>
      </c>
      <c r="F11" s="9" t="str">
        <f>IFERROR(INDEX('4. Référentiel recos'!$F$4:$F$58,MATCH('2. Résultats'!$B$12&amp;"|"&amp;'2. Résultats'!$F$12,'4. Référentiel recos'!$A$4:$A$58,0)),"Complétez les 2 affirmations de cette dimension.")</f>
        <v>Complétez les 2 affirmations de cette dimension.</v>
      </c>
    </row>
    <row r="12" ht="75.75" customHeight="1" spans="1:6">
      <c r="A12" s="6" t="str">
        <f>'2. Résultats'!B13</f>
        <v>8. Information et reporting</v>
      </c>
      <c r="B12" s="7" t="str">
        <f>'2. Résultats'!D13</f>
        <v/>
      </c>
      <c r="C12" s="8" t="str">
        <f>'2. Résultats'!F13</f>
        <v>—</v>
      </c>
      <c r="D12" s="9" t="str">
        <f>IFERROR(INDEX('4. Référentiel recos'!$D$4:$D$58,MATCH('2. Résultats'!$B$13&amp;"|"&amp;'2. Résultats'!$F$13,'4. Référentiel recos'!$A$4:$A$58,0)),"Complétez les 2 affirmations de cette dimension.")</f>
        <v>Complétez les 2 affirmations de cette dimension.</v>
      </c>
      <c r="E12" s="9" t="str">
        <f>IFERROR(INDEX('4. Référentiel recos'!$E$4:$E$58,MATCH('2. Résultats'!$B$13&amp;"|"&amp;'2. Résultats'!$F$13,'4. Référentiel recos'!$A$4:$A$58,0)),"Complétez les 2 affirmations de cette dimension.")</f>
        <v>Complétez les 2 affirmations de cette dimension.</v>
      </c>
      <c r="F12" s="9" t="str">
        <f>IFERROR(INDEX('4. Référentiel recos'!$F$4:$F$58,MATCH('2. Résultats'!$B$13&amp;"|"&amp;'2. Résultats'!$F$13,'4. Référentiel recos'!$A$4:$A$58,0)),"Complétez les 2 affirmations de cette dimension.")</f>
        <v>Complétez les 2 affirmations de cette dimension.</v>
      </c>
    </row>
    <row r="13" ht="75.75" customHeight="1" spans="1:6">
      <c r="A13" s="6" t="str">
        <f>'2. Résultats'!B14</f>
        <v>9. Continuité d'activité (PCA/PRA)</v>
      </c>
      <c r="B13" s="7" t="str">
        <f>'2. Résultats'!D14</f>
        <v/>
      </c>
      <c r="C13" s="8" t="str">
        <f>'2. Résultats'!F14</f>
        <v>—</v>
      </c>
      <c r="D13" s="9" t="str">
        <f>IFERROR(INDEX('4. Référentiel recos'!$D$4:$D$58,MATCH('2. Résultats'!$B$14&amp;"|"&amp;'2. Résultats'!$F$14,'4. Référentiel recos'!$A$4:$A$58,0)),"Complétez les 2 affirmations de cette dimension.")</f>
        <v>Complétez les 2 affirmations de cette dimension.</v>
      </c>
      <c r="E13" s="9" t="str">
        <f>IFERROR(INDEX('4. Référentiel recos'!$E$4:$E$58,MATCH('2. Résultats'!$B$14&amp;"|"&amp;'2. Résultats'!$F$14,'4. Référentiel recos'!$A$4:$A$58,0)),"Complétez les 2 affirmations de cette dimension.")</f>
        <v>Complétez les 2 affirmations de cette dimension.</v>
      </c>
      <c r="F13" s="9" t="str">
        <f>IFERROR(INDEX('4. Référentiel recos'!$F$4:$F$58,MATCH('2. Résultats'!$B$14&amp;"|"&amp;'2. Résultats'!$F$14,'4. Référentiel recos'!$A$4:$A$58,0)),"Complétez les 2 affirmations de cette dimension.")</f>
        <v>Complétez les 2 affirmations de cette dimension.</v>
      </c>
    </row>
    <row r="14" ht="75.75" customHeight="1" spans="1:6">
      <c r="A14" s="6" t="str">
        <f>'2. Résultats'!B15</f>
        <v>10. Gestion de crise (PGC)</v>
      </c>
      <c r="B14" s="7" t="str">
        <f>'2. Résultats'!D15</f>
        <v/>
      </c>
      <c r="C14" s="8" t="str">
        <f>'2. Résultats'!F15</f>
        <v>—</v>
      </c>
      <c r="D14" s="9" t="str">
        <f>IFERROR(INDEX('4. Référentiel recos'!$D$4:$D$58,MATCH('2. Résultats'!$B$15&amp;"|"&amp;'2. Résultats'!$F$15,'4. Référentiel recos'!$A$4:$A$58,0)),"Complétez les 2 affirmations de cette dimension.")</f>
        <v>Complétez les 2 affirmations de cette dimension.</v>
      </c>
      <c r="E14" s="9" t="str">
        <f>IFERROR(INDEX('4. Référentiel recos'!$E$4:$E$58,MATCH('2. Résultats'!$B$15&amp;"|"&amp;'2. Résultats'!$F$15,'4. Référentiel recos'!$A$4:$A$58,0)),"Complétez les 2 affirmations de cette dimension.")</f>
        <v>Complétez les 2 affirmations de cette dimension.</v>
      </c>
      <c r="F14" s="9" t="str">
        <f>IFERROR(INDEX('4. Référentiel recos'!$F$4:$F$58,MATCH('2. Résultats'!$B$15&amp;"|"&amp;'2. Résultats'!$F$15,'4. Référentiel recos'!$A$4:$A$58,0)),"Complétez les 2 affirmations de cette dimension.")</f>
        <v>Complétez les 2 affirmations de cette dimension.</v>
      </c>
    </row>
    <row r="15" ht="75.75" customHeight="1" spans="1:6">
      <c r="A15" s="6" t="str">
        <f>'2. Résultats'!B16</f>
        <v>11. Résilience organisationnelle</v>
      </c>
      <c r="B15" s="7" t="str">
        <f>'2. Résultats'!D16</f>
        <v/>
      </c>
      <c r="C15" s="8" t="str">
        <f>'2. Résultats'!F16</f>
        <v>—</v>
      </c>
      <c r="D15" s="9" t="str">
        <f>IFERROR(INDEX('4. Référentiel recos'!$D$4:$D$58,MATCH('2. Résultats'!$B$16&amp;"|"&amp;'2. Résultats'!$F$16,'4. Référentiel recos'!$A$4:$A$58,0)),"Complétez les 2 affirmations de cette dimension.")</f>
        <v>Complétez les 2 affirmations de cette dimension.</v>
      </c>
      <c r="E15" s="9" t="str">
        <f>IFERROR(INDEX('4. Référentiel recos'!$E$4:$E$58,MATCH('2. Résultats'!$B$16&amp;"|"&amp;'2. Résultats'!$F$16,'4. Référentiel recos'!$A$4:$A$58,0)),"Complétez les 2 affirmations de cette dimension.")</f>
        <v>Complétez les 2 affirmations de cette dimension.</v>
      </c>
      <c r="F15" s="9" t="str">
        <f>IFERROR(INDEX('4. Référentiel recos'!$F$4:$F$58,MATCH('2. Résultats'!$B$16&amp;"|"&amp;'2. Résultats'!$F$16,'4. Référentiel recos'!$A$4:$A$58,0)),"Complétez les 2 affirmations de cette dimension.")</f>
        <v>Complétez les 2 affirmations de cette dimension.</v>
      </c>
    </row>
  </sheetData>
  <mergeCells count="1">
    <mergeCell ref="A2:F2"/>
  </mergeCells>
  <conditionalFormatting sqref="B5:B15">
    <cfRule type="cellIs" dxfId="0" priority="2" operator="lessThanOrEqual">
      <formula>0.25</formula>
    </cfRule>
    <cfRule type="cellIs" dxfId="1" priority="3" operator="between">
      <formula>0.26</formula>
      <formula>0.5</formula>
    </cfRule>
    <cfRule type="cellIs" dxfId="3" priority="4" operator="greater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showGridLines="0" tabSelected="1" topLeftCell="E1" workbookViewId="0">
      <pane ySplit="3" topLeftCell="A55" activePane="bottomLeft" state="frozen"/>
      <selection/>
      <selection pane="bottomLeft" activeCell="F58" sqref="F58"/>
    </sheetView>
  </sheetViews>
  <sheetFormatPr defaultColWidth="8.68141592920354" defaultRowHeight="14.25" outlineLevelCol="5"/>
  <cols>
    <col min="1" max="1" width="34" customWidth="1"/>
    <col min="2" max="2" width="24" customWidth="1"/>
    <col min="3" max="3" width="15" customWidth="1"/>
    <col min="4" max="4" width="52" customWidth="1"/>
    <col min="5" max="6" width="58" customWidth="1"/>
  </cols>
  <sheetData>
    <row r="1" spans="1:6">
      <c r="A1" s="1" t="s">
        <v>131</v>
      </c>
      <c r="B1" s="1"/>
      <c r="C1" s="1"/>
      <c r="D1" s="1"/>
      <c r="E1" s="1"/>
      <c r="F1" s="1"/>
    </row>
    <row r="3" spans="1:6">
      <c r="A3" s="2" t="s">
        <v>132</v>
      </c>
      <c r="B3" s="2" t="s">
        <v>48</v>
      </c>
      <c r="C3" s="2" t="s">
        <v>29</v>
      </c>
      <c r="D3" s="2" t="s">
        <v>128</v>
      </c>
      <c r="E3" s="2" t="s">
        <v>129</v>
      </c>
      <c r="F3" s="2" t="s">
        <v>130</v>
      </c>
    </row>
    <row r="4" ht="45.75" customHeight="1" spans="1:6">
      <c r="A4" s="3" t="s">
        <v>133</v>
      </c>
      <c r="B4" s="3" t="s">
        <v>50</v>
      </c>
      <c r="C4" s="3" t="s">
        <v>32</v>
      </c>
      <c r="D4" s="3" t="s">
        <v>134</v>
      </c>
      <c r="E4" s="3" t="s">
        <v>135</v>
      </c>
      <c r="F4" s="3" t="s">
        <v>136</v>
      </c>
    </row>
    <row r="5" ht="45.75" customHeight="1" spans="1:6">
      <c r="A5" s="3" t="s">
        <v>137</v>
      </c>
      <c r="B5" s="3" t="s">
        <v>50</v>
      </c>
      <c r="C5" s="3" t="s">
        <v>35</v>
      </c>
      <c r="D5" s="3" t="s">
        <v>138</v>
      </c>
      <c r="E5" s="3" t="s">
        <v>139</v>
      </c>
      <c r="F5" s="3" t="s">
        <v>140</v>
      </c>
    </row>
    <row r="6" ht="45.75" customHeight="1" spans="1:6">
      <c r="A6" s="3" t="s">
        <v>141</v>
      </c>
      <c r="B6" s="3" t="s">
        <v>50</v>
      </c>
      <c r="C6" s="3" t="s">
        <v>38</v>
      </c>
      <c r="D6" s="3" t="s">
        <v>142</v>
      </c>
      <c r="E6" s="3" t="s">
        <v>143</v>
      </c>
      <c r="F6" s="3" t="s">
        <v>144</v>
      </c>
    </row>
    <row r="7" ht="45.75" customHeight="1" spans="1:6">
      <c r="A7" s="3" t="s">
        <v>145</v>
      </c>
      <c r="B7" s="3" t="s">
        <v>50</v>
      </c>
      <c r="C7" s="3" t="s">
        <v>41</v>
      </c>
      <c r="D7" s="3" t="s">
        <v>146</v>
      </c>
      <c r="E7" s="3" t="s">
        <v>147</v>
      </c>
      <c r="F7" s="3" t="s">
        <v>148</v>
      </c>
    </row>
    <row r="8" ht="45.75" customHeight="1" spans="1:6">
      <c r="A8" s="3" t="s">
        <v>149</v>
      </c>
      <c r="B8" s="3" t="s">
        <v>50</v>
      </c>
      <c r="C8" s="3" t="s">
        <v>44</v>
      </c>
      <c r="D8" s="3" t="s">
        <v>150</v>
      </c>
      <c r="E8" s="3" t="s">
        <v>151</v>
      </c>
      <c r="F8" s="3" t="s">
        <v>152</v>
      </c>
    </row>
    <row r="9" ht="45.75" customHeight="1" spans="1:6">
      <c r="A9" s="3" t="s">
        <v>153</v>
      </c>
      <c r="B9" s="3" t="s">
        <v>51</v>
      </c>
      <c r="C9" s="3" t="s">
        <v>32</v>
      </c>
      <c r="D9" s="3" t="s">
        <v>154</v>
      </c>
      <c r="E9" s="3" t="s">
        <v>155</v>
      </c>
      <c r="F9" s="3" t="s">
        <v>156</v>
      </c>
    </row>
    <row r="10" ht="45.75" customHeight="1" spans="1:6">
      <c r="A10" s="3" t="s">
        <v>157</v>
      </c>
      <c r="B10" s="3" t="s">
        <v>51</v>
      </c>
      <c r="C10" s="3" t="s">
        <v>35</v>
      </c>
      <c r="D10" s="3" t="s">
        <v>158</v>
      </c>
      <c r="E10" s="3" t="s">
        <v>159</v>
      </c>
      <c r="F10" s="3" t="s">
        <v>160</v>
      </c>
    </row>
    <row r="11" ht="45.75" customHeight="1" spans="1:6">
      <c r="A11" s="3" t="s">
        <v>161</v>
      </c>
      <c r="B11" s="3" t="s">
        <v>51</v>
      </c>
      <c r="C11" s="3" t="s">
        <v>38</v>
      </c>
      <c r="D11" s="3" t="s">
        <v>162</v>
      </c>
      <c r="E11" s="3" t="s">
        <v>163</v>
      </c>
      <c r="F11" s="3" t="s">
        <v>164</v>
      </c>
    </row>
    <row r="12" ht="45.75" customHeight="1" spans="1:6">
      <c r="A12" s="3" t="s">
        <v>165</v>
      </c>
      <c r="B12" s="3" t="s">
        <v>51</v>
      </c>
      <c r="C12" s="3" t="s">
        <v>41</v>
      </c>
      <c r="D12" s="3" t="s">
        <v>166</v>
      </c>
      <c r="E12" s="3" t="s">
        <v>167</v>
      </c>
      <c r="F12" s="3" t="s">
        <v>168</v>
      </c>
    </row>
    <row r="13" ht="45.75" customHeight="1" spans="1:6">
      <c r="A13" s="3" t="s">
        <v>169</v>
      </c>
      <c r="B13" s="3" t="s">
        <v>51</v>
      </c>
      <c r="C13" s="3" t="s">
        <v>44</v>
      </c>
      <c r="D13" s="3" t="s">
        <v>170</v>
      </c>
      <c r="E13" s="3" t="s">
        <v>171</v>
      </c>
      <c r="F13" s="3" t="s">
        <v>172</v>
      </c>
    </row>
    <row r="14" ht="45.75" customHeight="1" spans="1:6">
      <c r="A14" s="3" t="s">
        <v>173</v>
      </c>
      <c r="B14" s="3" t="s">
        <v>52</v>
      </c>
      <c r="C14" s="3" t="s">
        <v>32</v>
      </c>
      <c r="D14" s="3" t="s">
        <v>174</v>
      </c>
      <c r="E14" s="3" t="s">
        <v>175</v>
      </c>
      <c r="F14" s="3" t="s">
        <v>176</v>
      </c>
    </row>
    <row r="15" ht="45.75" customHeight="1" spans="1:6">
      <c r="A15" s="3" t="s">
        <v>177</v>
      </c>
      <c r="B15" s="3" t="s">
        <v>52</v>
      </c>
      <c r="C15" s="3" t="s">
        <v>35</v>
      </c>
      <c r="D15" s="3" t="s">
        <v>178</v>
      </c>
      <c r="E15" s="3" t="s">
        <v>179</v>
      </c>
      <c r="F15" s="3" t="s">
        <v>180</v>
      </c>
    </row>
    <row r="16" ht="45.75" customHeight="1" spans="1:6">
      <c r="A16" s="3" t="s">
        <v>181</v>
      </c>
      <c r="B16" s="3" t="s">
        <v>52</v>
      </c>
      <c r="C16" s="3" t="s">
        <v>38</v>
      </c>
      <c r="D16" s="3" t="s">
        <v>182</v>
      </c>
      <c r="E16" s="3" t="s">
        <v>183</v>
      </c>
      <c r="F16" s="3" t="s">
        <v>184</v>
      </c>
    </row>
    <row r="17" ht="45.75" customHeight="1" spans="1:6">
      <c r="A17" s="3" t="s">
        <v>185</v>
      </c>
      <c r="B17" s="3" t="s">
        <v>52</v>
      </c>
      <c r="C17" s="3" t="s">
        <v>41</v>
      </c>
      <c r="D17" s="3" t="s">
        <v>186</v>
      </c>
      <c r="E17" s="3" t="s">
        <v>187</v>
      </c>
      <c r="F17" s="3" t="s">
        <v>188</v>
      </c>
    </row>
    <row r="18" ht="45.75" customHeight="1" spans="1:6">
      <c r="A18" s="3" t="s">
        <v>189</v>
      </c>
      <c r="B18" s="3" t="s">
        <v>52</v>
      </c>
      <c r="C18" s="3" t="s">
        <v>44</v>
      </c>
      <c r="D18" s="3" t="s">
        <v>190</v>
      </c>
      <c r="E18" s="3" t="s">
        <v>191</v>
      </c>
      <c r="F18" s="3" t="s">
        <v>192</v>
      </c>
    </row>
    <row r="19" ht="45.75" customHeight="1" spans="1:6">
      <c r="A19" s="3" t="s">
        <v>193</v>
      </c>
      <c r="B19" s="3" t="s">
        <v>53</v>
      </c>
      <c r="C19" s="3" t="s">
        <v>32</v>
      </c>
      <c r="D19" s="3" t="s">
        <v>194</v>
      </c>
      <c r="E19" s="3" t="s">
        <v>195</v>
      </c>
      <c r="F19" s="3" t="s">
        <v>196</v>
      </c>
    </row>
    <row r="20" ht="45.75" customHeight="1" spans="1:6">
      <c r="A20" s="3" t="s">
        <v>197</v>
      </c>
      <c r="B20" s="3" t="s">
        <v>53</v>
      </c>
      <c r="C20" s="3" t="s">
        <v>35</v>
      </c>
      <c r="D20" s="3" t="s">
        <v>198</v>
      </c>
      <c r="E20" s="3" t="s">
        <v>199</v>
      </c>
      <c r="F20" s="3" t="s">
        <v>200</v>
      </c>
    </row>
    <row r="21" ht="45.75" customHeight="1" spans="1:6">
      <c r="A21" s="3" t="s">
        <v>201</v>
      </c>
      <c r="B21" s="3" t="s">
        <v>53</v>
      </c>
      <c r="C21" s="3" t="s">
        <v>38</v>
      </c>
      <c r="D21" s="3" t="s">
        <v>202</v>
      </c>
      <c r="E21" s="3" t="s">
        <v>203</v>
      </c>
      <c r="F21" s="3" t="s">
        <v>204</v>
      </c>
    </row>
    <row r="22" ht="45.75" customHeight="1" spans="1:6">
      <c r="A22" s="3" t="s">
        <v>205</v>
      </c>
      <c r="B22" s="3" t="s">
        <v>53</v>
      </c>
      <c r="C22" s="3" t="s">
        <v>41</v>
      </c>
      <c r="D22" s="3" t="s">
        <v>206</v>
      </c>
      <c r="E22" s="3" t="s">
        <v>207</v>
      </c>
      <c r="F22" s="3" t="s">
        <v>208</v>
      </c>
    </row>
    <row r="23" ht="45.75" customHeight="1" spans="1:6">
      <c r="A23" s="3" t="s">
        <v>209</v>
      </c>
      <c r="B23" s="3" t="s">
        <v>53</v>
      </c>
      <c r="C23" s="3" t="s">
        <v>44</v>
      </c>
      <c r="D23" s="3" t="s">
        <v>190</v>
      </c>
      <c r="E23" s="3" t="s">
        <v>210</v>
      </c>
      <c r="F23" s="3" t="s">
        <v>211</v>
      </c>
    </row>
    <row r="24" ht="45.75" customHeight="1" spans="1:6">
      <c r="A24" s="3" t="s">
        <v>212</v>
      </c>
      <c r="B24" s="3" t="s">
        <v>54</v>
      </c>
      <c r="C24" s="3" t="s">
        <v>32</v>
      </c>
      <c r="D24" s="3" t="s">
        <v>213</v>
      </c>
      <c r="E24" s="3" t="s">
        <v>214</v>
      </c>
      <c r="F24" s="3" t="s">
        <v>215</v>
      </c>
    </row>
    <row r="25" ht="45.75" customHeight="1" spans="1:6">
      <c r="A25" s="3" t="s">
        <v>216</v>
      </c>
      <c r="B25" s="3" t="s">
        <v>54</v>
      </c>
      <c r="C25" s="3" t="s">
        <v>35</v>
      </c>
      <c r="D25" s="3" t="s">
        <v>217</v>
      </c>
      <c r="E25" s="3" t="s">
        <v>218</v>
      </c>
      <c r="F25" s="3" t="s">
        <v>219</v>
      </c>
    </row>
    <row r="26" ht="45.75" customHeight="1" spans="1:6">
      <c r="A26" s="3" t="s">
        <v>220</v>
      </c>
      <c r="B26" s="3" t="s">
        <v>54</v>
      </c>
      <c r="C26" s="3" t="s">
        <v>38</v>
      </c>
      <c r="D26" s="3" t="s">
        <v>221</v>
      </c>
      <c r="E26" s="3" t="s">
        <v>222</v>
      </c>
      <c r="F26" s="3" t="s">
        <v>223</v>
      </c>
    </row>
    <row r="27" ht="45.75" customHeight="1" spans="1:6">
      <c r="A27" s="3" t="s">
        <v>224</v>
      </c>
      <c r="B27" s="3" t="s">
        <v>54</v>
      </c>
      <c r="C27" s="3" t="s">
        <v>41</v>
      </c>
      <c r="D27" s="3" t="s">
        <v>225</v>
      </c>
      <c r="E27" s="3" t="s">
        <v>226</v>
      </c>
      <c r="F27" s="3" t="s">
        <v>227</v>
      </c>
    </row>
    <row r="28" ht="45.75" customHeight="1" spans="1:6">
      <c r="A28" s="3" t="s">
        <v>228</v>
      </c>
      <c r="B28" s="3" t="s">
        <v>54</v>
      </c>
      <c r="C28" s="3" t="s">
        <v>44</v>
      </c>
      <c r="D28" s="3" t="s">
        <v>190</v>
      </c>
      <c r="E28" s="3" t="s">
        <v>229</v>
      </c>
      <c r="F28" s="3" t="s">
        <v>230</v>
      </c>
    </row>
    <row r="29" ht="45.75" customHeight="1" spans="1:6">
      <c r="A29" s="3" t="s">
        <v>231</v>
      </c>
      <c r="B29" s="3" t="s">
        <v>55</v>
      </c>
      <c r="C29" s="3" t="s">
        <v>32</v>
      </c>
      <c r="D29" s="3" t="s">
        <v>232</v>
      </c>
      <c r="E29" s="3" t="s">
        <v>233</v>
      </c>
      <c r="F29" s="3" t="s">
        <v>234</v>
      </c>
    </row>
    <row r="30" ht="45.75" customHeight="1" spans="1:6">
      <c r="A30" s="3" t="s">
        <v>235</v>
      </c>
      <c r="B30" s="3" t="s">
        <v>55</v>
      </c>
      <c r="C30" s="3" t="s">
        <v>35</v>
      </c>
      <c r="D30" s="3" t="s">
        <v>236</v>
      </c>
      <c r="E30" s="3" t="s">
        <v>237</v>
      </c>
      <c r="F30" s="3" t="s">
        <v>238</v>
      </c>
    </row>
    <row r="31" ht="45.75" customHeight="1" spans="1:6">
      <c r="A31" s="3" t="s">
        <v>239</v>
      </c>
      <c r="B31" s="3" t="s">
        <v>55</v>
      </c>
      <c r="C31" s="3" t="s">
        <v>38</v>
      </c>
      <c r="D31" s="3" t="s">
        <v>240</v>
      </c>
      <c r="E31" s="3" t="s">
        <v>241</v>
      </c>
      <c r="F31" s="3" t="s">
        <v>242</v>
      </c>
    </row>
    <row r="32" ht="45.75" customHeight="1" spans="1:6">
      <c r="A32" s="3" t="s">
        <v>243</v>
      </c>
      <c r="B32" s="3" t="s">
        <v>55</v>
      </c>
      <c r="C32" s="3" t="s">
        <v>41</v>
      </c>
      <c r="D32" s="3" t="s">
        <v>244</v>
      </c>
      <c r="E32" s="3" t="s">
        <v>245</v>
      </c>
      <c r="F32" s="3" t="s">
        <v>246</v>
      </c>
    </row>
    <row r="33" ht="45.75" customHeight="1" spans="1:6">
      <c r="A33" s="3" t="s">
        <v>247</v>
      </c>
      <c r="B33" s="3" t="s">
        <v>55</v>
      </c>
      <c r="C33" s="3" t="s">
        <v>44</v>
      </c>
      <c r="D33" s="3" t="s">
        <v>190</v>
      </c>
      <c r="E33" s="3" t="s">
        <v>248</v>
      </c>
      <c r="F33" s="3" t="s">
        <v>249</v>
      </c>
    </row>
    <row r="34" ht="45.75" customHeight="1" spans="1:6">
      <c r="A34" s="3" t="s">
        <v>250</v>
      </c>
      <c r="B34" s="3" t="s">
        <v>56</v>
      </c>
      <c r="C34" s="3" t="s">
        <v>32</v>
      </c>
      <c r="D34" s="3" t="s">
        <v>251</v>
      </c>
      <c r="E34" s="3" t="s">
        <v>252</v>
      </c>
      <c r="F34" s="3" t="s">
        <v>253</v>
      </c>
    </row>
    <row r="35" ht="45.75" customHeight="1" spans="1:6">
      <c r="A35" s="3" t="s">
        <v>254</v>
      </c>
      <c r="B35" s="3" t="s">
        <v>56</v>
      </c>
      <c r="C35" s="3" t="s">
        <v>35</v>
      </c>
      <c r="D35" s="3" t="s">
        <v>255</v>
      </c>
      <c r="E35" s="3" t="s">
        <v>256</v>
      </c>
      <c r="F35" s="3" t="s">
        <v>257</v>
      </c>
    </row>
    <row r="36" ht="45.75" customHeight="1" spans="1:6">
      <c r="A36" s="3" t="s">
        <v>258</v>
      </c>
      <c r="B36" s="3" t="s">
        <v>56</v>
      </c>
      <c r="C36" s="3" t="s">
        <v>38</v>
      </c>
      <c r="D36" s="3" t="s">
        <v>259</v>
      </c>
      <c r="E36" s="3" t="s">
        <v>260</v>
      </c>
      <c r="F36" s="3" t="s">
        <v>261</v>
      </c>
    </row>
    <row r="37" ht="45.75" customHeight="1" spans="1:6">
      <c r="A37" s="3" t="s">
        <v>262</v>
      </c>
      <c r="B37" s="3" t="s">
        <v>56</v>
      </c>
      <c r="C37" s="3" t="s">
        <v>41</v>
      </c>
      <c r="D37" s="3" t="s">
        <v>263</v>
      </c>
      <c r="E37" s="3" t="s">
        <v>264</v>
      </c>
      <c r="F37" s="3" t="s">
        <v>265</v>
      </c>
    </row>
    <row r="38" ht="45.75" customHeight="1" spans="1:6">
      <c r="A38" s="3" t="s">
        <v>266</v>
      </c>
      <c r="B38" s="3" t="s">
        <v>56</v>
      </c>
      <c r="C38" s="3" t="s">
        <v>44</v>
      </c>
      <c r="D38" s="3" t="s">
        <v>190</v>
      </c>
      <c r="E38" s="3" t="s">
        <v>267</v>
      </c>
      <c r="F38" s="3" t="s">
        <v>268</v>
      </c>
    </row>
    <row r="39" ht="45.75" customHeight="1" spans="1:6">
      <c r="A39" s="3" t="s">
        <v>269</v>
      </c>
      <c r="B39" s="3" t="s">
        <v>57</v>
      </c>
      <c r="C39" s="3" t="s">
        <v>32</v>
      </c>
      <c r="D39" s="3" t="s">
        <v>270</v>
      </c>
      <c r="E39" s="3" t="s">
        <v>271</v>
      </c>
      <c r="F39" s="3" t="s">
        <v>272</v>
      </c>
    </row>
    <row r="40" ht="45.75" customHeight="1" spans="1:6">
      <c r="A40" s="3" t="s">
        <v>273</v>
      </c>
      <c r="B40" s="3" t="s">
        <v>57</v>
      </c>
      <c r="C40" s="3" t="s">
        <v>35</v>
      </c>
      <c r="D40" s="3" t="s">
        <v>274</v>
      </c>
      <c r="E40" s="3" t="s">
        <v>275</v>
      </c>
      <c r="F40" s="3" t="s">
        <v>276</v>
      </c>
    </row>
    <row r="41" ht="45.75" customHeight="1" spans="1:6">
      <c r="A41" s="3" t="s">
        <v>277</v>
      </c>
      <c r="B41" s="3" t="s">
        <v>57</v>
      </c>
      <c r="C41" s="3" t="s">
        <v>38</v>
      </c>
      <c r="D41" s="3" t="s">
        <v>278</v>
      </c>
      <c r="E41" s="3" t="s">
        <v>279</v>
      </c>
      <c r="F41" s="3" t="s">
        <v>280</v>
      </c>
    </row>
    <row r="42" ht="45.75" customHeight="1" spans="1:6">
      <c r="A42" s="3" t="s">
        <v>281</v>
      </c>
      <c r="B42" s="3" t="s">
        <v>57</v>
      </c>
      <c r="C42" s="3" t="s">
        <v>41</v>
      </c>
      <c r="D42" s="3" t="s">
        <v>282</v>
      </c>
      <c r="E42" s="3" t="s">
        <v>283</v>
      </c>
      <c r="F42" s="3" t="s">
        <v>284</v>
      </c>
    </row>
    <row r="43" ht="45.75" customHeight="1" spans="1:6">
      <c r="A43" s="3" t="s">
        <v>285</v>
      </c>
      <c r="B43" s="3" t="s">
        <v>57</v>
      </c>
      <c r="C43" s="3" t="s">
        <v>44</v>
      </c>
      <c r="D43" s="3" t="s">
        <v>190</v>
      </c>
      <c r="E43" s="3" t="s">
        <v>286</v>
      </c>
      <c r="F43" s="3" t="s">
        <v>287</v>
      </c>
    </row>
    <row r="44" ht="45.75" customHeight="1" spans="1:6">
      <c r="A44" s="3" t="s">
        <v>288</v>
      </c>
      <c r="B44" s="3" t="s">
        <v>58</v>
      </c>
      <c r="C44" s="3" t="s">
        <v>32</v>
      </c>
      <c r="D44" s="3" t="s">
        <v>289</v>
      </c>
      <c r="E44" s="3" t="s">
        <v>290</v>
      </c>
      <c r="F44" s="3" t="s">
        <v>291</v>
      </c>
    </row>
    <row r="45" ht="45.75" customHeight="1" spans="1:6">
      <c r="A45" s="3" t="s">
        <v>292</v>
      </c>
      <c r="B45" s="3" t="s">
        <v>58</v>
      </c>
      <c r="C45" s="3" t="s">
        <v>35</v>
      </c>
      <c r="D45" s="3" t="s">
        <v>293</v>
      </c>
      <c r="E45" s="3" t="s">
        <v>294</v>
      </c>
      <c r="F45" s="3" t="s">
        <v>295</v>
      </c>
    </row>
    <row r="46" ht="45.75" customHeight="1" spans="1:6">
      <c r="A46" s="3" t="s">
        <v>296</v>
      </c>
      <c r="B46" s="3" t="s">
        <v>58</v>
      </c>
      <c r="C46" s="3" t="s">
        <v>38</v>
      </c>
      <c r="D46" s="3" t="s">
        <v>297</v>
      </c>
      <c r="E46" s="3" t="s">
        <v>298</v>
      </c>
      <c r="F46" s="3" t="s">
        <v>299</v>
      </c>
    </row>
    <row r="47" ht="45.75" customHeight="1" spans="1:6">
      <c r="A47" s="3" t="s">
        <v>300</v>
      </c>
      <c r="B47" s="3" t="s">
        <v>58</v>
      </c>
      <c r="C47" s="3" t="s">
        <v>41</v>
      </c>
      <c r="D47" s="3" t="s">
        <v>301</v>
      </c>
      <c r="E47" s="3" t="s">
        <v>302</v>
      </c>
      <c r="F47" s="3" t="s">
        <v>303</v>
      </c>
    </row>
    <row r="48" ht="45.75" customHeight="1" spans="1:6">
      <c r="A48" s="3" t="s">
        <v>304</v>
      </c>
      <c r="B48" s="3" t="s">
        <v>58</v>
      </c>
      <c r="C48" s="3" t="s">
        <v>44</v>
      </c>
      <c r="D48" s="3" t="s">
        <v>190</v>
      </c>
      <c r="E48" s="3" t="s">
        <v>305</v>
      </c>
      <c r="F48" s="3" t="s">
        <v>306</v>
      </c>
    </row>
    <row r="49" ht="45.75" customHeight="1" spans="1:6">
      <c r="A49" s="3" t="s">
        <v>307</v>
      </c>
      <c r="B49" s="3" t="s">
        <v>59</v>
      </c>
      <c r="C49" s="3" t="s">
        <v>32</v>
      </c>
      <c r="D49" s="3" t="s">
        <v>308</v>
      </c>
      <c r="E49" s="3" t="s">
        <v>309</v>
      </c>
      <c r="F49" s="3" t="s">
        <v>310</v>
      </c>
    </row>
    <row r="50" ht="45.75" customHeight="1" spans="1:6">
      <c r="A50" s="3" t="s">
        <v>311</v>
      </c>
      <c r="B50" s="3" t="s">
        <v>59</v>
      </c>
      <c r="C50" s="3" t="s">
        <v>35</v>
      </c>
      <c r="D50" s="3" t="s">
        <v>312</v>
      </c>
      <c r="E50" s="3" t="s">
        <v>313</v>
      </c>
      <c r="F50" s="3" t="s">
        <v>314</v>
      </c>
    </row>
    <row r="51" ht="45.75" customHeight="1" spans="1:6">
      <c r="A51" s="3" t="s">
        <v>315</v>
      </c>
      <c r="B51" s="3" t="s">
        <v>59</v>
      </c>
      <c r="C51" s="3" t="s">
        <v>38</v>
      </c>
      <c r="D51" s="3" t="s">
        <v>316</v>
      </c>
      <c r="E51" s="3" t="s">
        <v>317</v>
      </c>
      <c r="F51" s="3" t="s">
        <v>318</v>
      </c>
    </row>
    <row r="52" ht="45.75" customHeight="1" spans="1:6">
      <c r="A52" s="3" t="s">
        <v>319</v>
      </c>
      <c r="B52" s="3" t="s">
        <v>59</v>
      </c>
      <c r="C52" s="3" t="s">
        <v>41</v>
      </c>
      <c r="D52" s="3" t="s">
        <v>320</v>
      </c>
      <c r="E52" s="3" t="s">
        <v>321</v>
      </c>
      <c r="F52" s="3" t="s">
        <v>322</v>
      </c>
    </row>
    <row r="53" ht="45.75" customHeight="1" spans="1:6">
      <c r="A53" s="3" t="s">
        <v>323</v>
      </c>
      <c r="B53" s="3" t="s">
        <v>59</v>
      </c>
      <c r="C53" s="3" t="s">
        <v>44</v>
      </c>
      <c r="D53" s="3" t="s">
        <v>190</v>
      </c>
      <c r="E53" s="3" t="s">
        <v>324</v>
      </c>
      <c r="F53" s="3" t="s">
        <v>325</v>
      </c>
    </row>
    <row r="54" ht="45.75" customHeight="1" spans="1:6">
      <c r="A54" s="3" t="s">
        <v>326</v>
      </c>
      <c r="B54" s="3" t="s">
        <v>60</v>
      </c>
      <c r="C54" s="3" t="s">
        <v>32</v>
      </c>
      <c r="D54" s="3" t="s">
        <v>327</v>
      </c>
      <c r="E54" s="3" t="s">
        <v>328</v>
      </c>
      <c r="F54" s="3" t="s">
        <v>329</v>
      </c>
    </row>
    <row r="55" ht="45.75" customHeight="1" spans="1:6">
      <c r="A55" s="3" t="s">
        <v>330</v>
      </c>
      <c r="B55" s="3" t="s">
        <v>60</v>
      </c>
      <c r="C55" s="3" t="s">
        <v>35</v>
      </c>
      <c r="D55" s="3" t="s">
        <v>331</v>
      </c>
      <c r="E55" s="3" t="s">
        <v>332</v>
      </c>
      <c r="F55" s="3" t="s">
        <v>333</v>
      </c>
    </row>
    <row r="56" ht="45.75" customHeight="1" spans="1:6">
      <c r="A56" s="3" t="s">
        <v>334</v>
      </c>
      <c r="B56" s="3" t="s">
        <v>60</v>
      </c>
      <c r="C56" s="3" t="s">
        <v>38</v>
      </c>
      <c r="D56" s="3" t="s">
        <v>335</v>
      </c>
      <c r="E56" s="3" t="s">
        <v>336</v>
      </c>
      <c r="F56" s="3" t="s">
        <v>337</v>
      </c>
    </row>
    <row r="57" ht="45.75" customHeight="1" spans="1:6">
      <c r="A57" s="3" t="s">
        <v>338</v>
      </c>
      <c r="B57" s="3" t="s">
        <v>60</v>
      </c>
      <c r="C57" s="3" t="s">
        <v>41</v>
      </c>
      <c r="D57" s="3" t="s">
        <v>339</v>
      </c>
      <c r="E57" s="3" t="s">
        <v>340</v>
      </c>
      <c r="F57" s="3" t="s">
        <v>341</v>
      </c>
    </row>
    <row r="58" ht="45.75" customHeight="1" spans="1:6">
      <c r="A58" s="3" t="s">
        <v>342</v>
      </c>
      <c r="B58" s="3" t="s">
        <v>60</v>
      </c>
      <c r="C58" s="3" t="s">
        <v>44</v>
      </c>
      <c r="D58" s="3" t="s">
        <v>190</v>
      </c>
      <c r="E58" s="3" t="s">
        <v>343</v>
      </c>
      <c r="F58" s="3" t="s">
        <v>344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0. Notice</vt:lpstr>
      <vt:lpstr>1. Questionnaire</vt:lpstr>
      <vt:lpstr>2. Résultats</vt:lpstr>
      <vt:lpstr>3. Recommandations</vt:lpstr>
      <vt:lpstr>4. Référentiel recos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ZEPHYRUS</cp:lastModifiedBy>
  <cp:revision>1</cp:revision>
  <dcterms:created xsi:type="dcterms:W3CDTF">2026-09-16T18:33:00Z</dcterms:created>
  <dcterms:modified xsi:type="dcterms:W3CDTF">2026-09-16T18:55:37Z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EEDC5B1E02CC4BC2BC97B587D2852C67_12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