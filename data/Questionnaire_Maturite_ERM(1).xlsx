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 Notice" sheetId="1" state="visible" r:id="rId3"/>
    <sheet name="1. Questionnaire" sheetId="2" state="visible" r:id="rId4"/>
    <sheet name="2. Résultats" sheetId="3" state="visible" r:id="rId5"/>
    <sheet name="3. Recommandations" sheetId="4" state="visible" r:id="rId6"/>
    <sheet name="4. Référentiel reco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<sst xmlns="http://schemas.openxmlformats.org/spreadsheetml/2006/main" count="681" uniqueCount="524">
  <si>
    <t xml:space="preserve">Questionnaire d'évaluation de maturité — Gestion des risques d'entreprise (ERM)</t>
  </si>
  <si>
    <t xml:space="preserve">Référentiel adapté de : OECD (2021), Enterprise Risk Management Maturity Model — étendu aux dimensions Continuité, Gestion de crise et Résilience.</t>
  </si>
  <si>
    <t xml:space="preserve">Fiche d'identité de l'entité évaluée</t>
  </si>
  <si>
    <t xml:space="preserve">Nom de l'entité</t>
  </si>
  <si>
    <t xml:space="preserve">Secteur d'activité</t>
  </si>
  <si>
    <t xml:space="preserve">Effectif</t>
  </si>
  <si>
    <t xml:space="preserve">Périmètre évalué</t>
  </si>
  <si>
    <t xml:space="preserve">Personne référente</t>
  </si>
  <si>
    <t xml:space="preserve">Fonction</t>
  </si>
  <si>
    <t xml:space="preserve">Date de l'évaluation</t>
  </si>
  <si>
    <t xml:space="preserve">Mode d'emploi</t>
  </si>
  <si>
    <t xml:space="preserve">1. Rendez-vous sur l'onglet « 1. Questionnaire ». Il comporte 33 questions réparties sur 11 dimensions.</t>
  </si>
  <si>
    <t xml:space="preserve">2. Pour chaque question, lisez les 5 propositions (colonnes A à E) et sélectionnez dans la colonne « Réponse » la lettre qui décrit le mieux votre situation actuelle.</t>
  </si>
  <si>
    <t xml:space="preserve">3. Choisissez une seule réponse par question. Si plusieurs situations vous semblent partiellement vraies, retenez celle qui correspond à la pratique dominante.</t>
  </si>
  <si>
    <t xml:space="preserve">4. Renseignez la colonne « Commentaire / preuve » pour justifier votre choix (document, instance, exercice réalisé). Cette colonne est facultative mais recommandée.</t>
  </si>
  <si>
    <t xml:space="preserve">5. Il n'y a pas de bonne réponse : l'objectif est une image fidèle de votre situation, pas un score à maximiser.</t>
  </si>
  <si>
    <t xml:space="preserve">6. Les onglets « 2. Résultats » et « 3. Recommandations » se calculent automatiquement. Aucune saisie n'y est requise.</t>
  </si>
  <si>
    <t xml:space="preserve">Cellules à remplir (fond jaune)</t>
  </si>
  <si>
    <t xml:space="preserve">Échelle de maturité</t>
  </si>
  <si>
    <t xml:space="preserve">Lettre</t>
  </si>
  <si>
    <t xml:space="preserve">Points</t>
  </si>
  <si>
    <t xml:space="preserve">Niveau de maturité</t>
  </si>
  <si>
    <t xml:space="preserve">A</t>
  </si>
  <si>
    <t xml:space="preserve">Émergent</t>
  </si>
  <si>
    <t xml:space="preserve">B</t>
  </si>
  <si>
    <t xml:space="preserve">En progression</t>
  </si>
  <si>
    <t xml:space="preserve">C</t>
  </si>
  <si>
    <t xml:space="preserve">Établi</t>
  </si>
  <si>
    <t xml:space="preserve">D</t>
  </si>
  <si>
    <t xml:space="preserve">Avancé</t>
  </si>
  <si>
    <t xml:space="preserve">E</t>
  </si>
  <si>
    <t xml:space="preserve">Aspirationnel</t>
  </si>
  <si>
    <t xml:space="preserve">Pondération des dimensions</t>
  </si>
  <si>
    <t xml:space="preserve">Les poids ci-dessous sont modifiables. Le score global est la moyenne pondérée des scores par dimension.</t>
  </si>
  <si>
    <t xml:space="preserve">Dimension</t>
  </si>
  <si>
    <t xml:space="preserve">Poids</t>
  </si>
  <si>
    <t xml:space="preserve">1. Stratégie</t>
  </si>
  <si>
    <t xml:space="preserve">2. Gouvernance</t>
  </si>
  <si>
    <t xml:space="preserve">3. Culture</t>
  </si>
  <si>
    <t xml:space="preserve">4. Identification des risques</t>
  </si>
  <si>
    <t xml:space="preserve">5. Analyse et évaluation des risques</t>
  </si>
  <si>
    <t xml:space="preserve">6. Traitement des risques</t>
  </si>
  <si>
    <t xml:space="preserve">7. Revue et révision</t>
  </si>
  <si>
    <t xml:space="preserve">8. Information et reporting</t>
  </si>
  <si>
    <t xml:space="preserve">9. Continuité d'activité (PCA/PRA)</t>
  </si>
  <si>
    <t xml:space="preserve">10. Gestion de crise (PGC)</t>
  </si>
  <si>
    <t xml:space="preserve">11. Résilience organisationnelle</t>
  </si>
  <si>
    <t xml:space="preserve">Total</t>
  </si>
  <si>
    <t xml:space="preserve">Questionnaire — sélectionnez une lettre (A à E) dans la colonne « Réponse »</t>
  </si>
  <si>
    <t xml:space="preserve">N°</t>
  </si>
  <si>
    <t xml:space="preserve">Question</t>
  </si>
  <si>
    <t xml:space="preserve">A — Émergent</t>
  </si>
  <si>
    <t xml:space="preserve">B — En progression</t>
  </si>
  <si>
    <t xml:space="preserve">C — Établi</t>
  </si>
  <si>
    <t xml:space="preserve">D — Avancé</t>
  </si>
  <si>
    <t xml:space="preserve">E — Aspirationnel</t>
  </si>
  <si>
    <t xml:space="preserve">Réponse</t>
  </si>
  <si>
    <t xml:space="preserve">Commentaire / preuve</t>
  </si>
  <si>
    <t xml:space="preserve">1.1</t>
  </si>
  <si>
    <t xml:space="preserve">La stratégie et les objectifs de l'entreprise intègrent-ils une analyse prospective des risques ?</t>
  </si>
  <si>
    <t xml:space="preserve">La stratégie est ajustée a posteriori, principalement en fonction des risques déjà survenus.</t>
  </si>
  <si>
    <t xml:space="preserve">Une analyse partielle des risques de mise en œuvre est réalisée, mais pas de façon systématique.</t>
  </si>
  <si>
    <t xml:space="preserve">Les changements majeurs de l'environnement interne/externe sont pris en compte, avec des ajustements conformes à l'appétit au risque général.</t>
  </si>
  <si>
    <t xml:space="preserve">La stratégie s'appuie sur une veille prospective et des scénarios impliquant un large éventail de parties prenantes internes et externes.</t>
  </si>
  <si>
    <t xml:space="preserve">La planification stratégique est continue, assistée par des outils analytiques avancés, avec ajustements en temps réel.</t>
  </si>
  <si>
    <t xml:space="preserve">1.2</t>
  </si>
  <si>
    <t xml:space="preserve">L'appétit au risque de l'entreprise est-il formalisé et relié à la stratégie ?</t>
  </si>
  <si>
    <t xml:space="preserve">La direction n'a qu'une compréhension limitée de la notion d'appétit au risque.</t>
  </si>
  <si>
    <t xml:space="preserve">Une compréhension de base existe mais n'est pas reliée à la stratégie.</t>
  </si>
  <si>
    <t xml:space="preserve">Une déclaration d'appétit au risque, intégrant les arbitrages, existe et est communiquée.</t>
  </si>
  <si>
    <t xml:space="preserve">Des déclarations d'appétit au risque existent par domaine clé et sont revues périodiquement par la gouvernance.</t>
  </si>
  <si>
    <t xml:space="preserve">L'appétit au risque est intégré à tous les objectifs métier et surveillé en continu, avec propositions d'ajustement automatisées.</t>
  </si>
  <si>
    <t xml:space="preserve">1.3</t>
  </si>
  <si>
    <t xml:space="preserve">Les risques sont-ils pris en compte dans l'allocation des ressources et les arbitrages d'investissement ?</t>
  </si>
  <si>
    <t xml:space="preserve">L'allocation des ressources ne tient pas compte formellement des risques.</t>
  </si>
  <si>
    <t xml:space="preserve">Le risque est évoqué pour les investissements les plus importants, de façon non structurée.</t>
  </si>
  <si>
    <t xml:space="preserve">L'information sur les risques alimente l'allocation des ressources, surtout dans les domaines les plus exposés.</t>
  </si>
  <si>
    <t xml:space="preserve">Les arbitrages d'investissement intègrent systématiquement le profil de risque et la tolérance définie.</t>
  </si>
  <si>
    <t xml:space="preserve">L'allocation est optimisée en continu selon un modèle risque/rendement alimenté par des données en temps réel.</t>
  </si>
  <si>
    <t xml:space="preserve">2.1</t>
  </si>
  <si>
    <t xml:space="preserve">Comment la gouvernance de la gestion des risques est-elle structurée ?</t>
  </si>
  <si>
    <t xml:space="preserve">La structure de gouvernance est floue et peu coordonnée entre les instances.</t>
  </si>
  <si>
    <t xml:space="preserve">Une structure existe avec des échanges ponctuels et un reporting périodique au comité de direction.</t>
  </si>
  <si>
    <t xml:space="preserve">Une structure transverse assure la revue périodique des risques et fixe l'appétit au risque général.</t>
  </si>
  <si>
    <t xml:space="preserve">Une structure transverse revoit régulièrement risques et performance, et approuve appétit et tolérance pour les risques majeurs.</t>
  </si>
  <si>
    <t xml:space="preserve">Une instance transverse prend des décisions proactives, y compris en temps réel, sur le risque et la performance.</t>
  </si>
  <si>
    <t xml:space="preserve">2.2</t>
  </si>
  <si>
    <t xml:space="preserve">Les rôles, responsabilités et niveaux d'autorité sont-ils définis et appliqués ?</t>
  </si>
  <si>
    <t xml:space="preserve">Ils sont peu documentés et appliqués de façon incohérente ; la responsabilité est peu claire.</t>
  </si>
  <si>
    <t xml:space="preserve">Ils sont définis dans certains domaines, avec un focus sur les risques majeurs.</t>
  </si>
  <si>
    <t xml:space="preserve">Une structure opérationnelle définit autorité et responsabilités, appliquée de façon cohérente dans la plupart des unités.</t>
  </si>
  <si>
    <t xml:space="preserve">Les rôles et niveaux d'autorité sont cartographiés dans les plans opérationnels et les objectifs individuels.</t>
  </si>
  <si>
    <t xml:space="preserve">Les rôles, délégations et structures de gouvernance sont revus périodiquement, y compris par des évaluations indépendantes.</t>
  </si>
  <si>
    <t xml:space="preserve">2.3</t>
  </si>
  <si>
    <t xml:space="preserve">Le dispositif de lignes de défense (métiers, risques/conformité, audit) est-il en place ?</t>
  </si>
  <si>
    <t xml:space="preserve">Il n'existe pas de séparation claire entre les fonctions opérationnelles et le contrôle des risques.</t>
  </si>
  <si>
    <t xml:space="preserve">Une fonction risque ou conformité existe, mais son articulation avec l'audit et les métiers reste ambiguë.</t>
  </si>
  <si>
    <t xml:space="preserve">Les trois lignes de défense sont formalisées, avec des périmètres et des rattachements définis.</t>
  </si>
  <si>
    <t xml:space="preserve">Les lignes de défense sont coordonnées, avec des plans d'assurance partagés et une couverture des risques revue conjointement.</t>
  </si>
  <si>
    <t xml:space="preserve">Le modèle d'assurance est intégré, piloté par les données, et son efficacité fait l'objet d'évaluations indépendantes régulières.</t>
  </si>
  <si>
    <t xml:space="preserve">3.1</t>
  </si>
  <si>
    <t xml:space="preserve">Comment la direction promeut-elle la gestion des risques ?</t>
  </si>
  <si>
    <t xml:space="preserve">La direction a une appréciation générale des risques mais ne promeut pas la démarche de façon proactive.</t>
  </si>
  <si>
    <t xml:space="preserve">La direction promeut la démarche, surtout pour les projets à fort enjeu réputationnel.</t>
  </si>
  <si>
    <t xml:space="preserve">L'importance d'une gestion des risques transverse est soulignée par la direction et reflétée dans la formation et le management.</t>
  </si>
  <si>
    <t xml:space="preserve">Une culture forte du risque est encouragée, soutenue par une formation continue et valorisée dans l'évaluation de la performance.</t>
  </si>
  <si>
    <t xml:space="preserve">La gestion des risques est intégrée aux valeurs de l'entreprise et aux comportements quotidiens, dans une culture d'innovation.</t>
  </si>
  <si>
    <t xml:space="preserve">3.2</t>
  </si>
  <si>
    <t xml:space="preserve">Quel est le niveau d'expertise et de formation en gestion des risques ?</t>
  </si>
  <si>
    <t xml:space="preserve">La pratique dépend de l'expertise individuelle des managers ; la formation se fait surtout sur le terrain.</t>
  </si>
  <si>
    <t xml:space="preserve">Une expertise interne existe ; la formation est réactive et ciblée sur les projets identifiés comme à risque.</t>
  </si>
  <si>
    <t xml:space="preserve">La décision éclairée par le risque est encouragée et soutenue par des experts disponibles sur demande.</t>
  </si>
  <si>
    <t xml:space="preserve">Les attentes sont communiquées à tous les niveaux ; la culture du risque est mesurée et comparée à d'autres organisations.</t>
  </si>
  <si>
    <t xml:space="preserve">Les comportements et décisions sont suivis en continu pour vérifier leur alignement avec les valeurs et l'appétit au risque.</t>
  </si>
  <si>
    <t xml:space="preserve">3.3</t>
  </si>
  <si>
    <t xml:space="preserve">Les collaborateurs peuvent-ils remonter un risque ou une alerte sans crainte ?</t>
  </si>
  <si>
    <t xml:space="preserve">Il n'existe pas de canal identifié ; remonter un problème est perçu comme risqué pour celui qui le signale.</t>
  </si>
  <si>
    <t xml:space="preserve">Des canaux existent pour certains sujets (fraude, sécurité) mais sont peu connus ou peu utilisés.</t>
  </si>
  <si>
    <t xml:space="preserve">Un dispositif de remontée est en place, communiqué, et les alertes sont traitées selon un processus défini.</t>
  </si>
  <si>
    <t xml:space="preserve">La remontée d'alerte est encouragée et valorisée ; les suites données sont communiquées en retour aux émetteurs.</t>
  </si>
  <si>
    <t xml:space="preserve">La culture de transparence est mesurée activement ; les signaux faibles remontent spontanément et alimentent le dispositif de risque.</t>
  </si>
  <si>
    <t xml:space="preserve">4.1</t>
  </si>
  <si>
    <t xml:space="preserve">Comment les risques sont-ils identifiés au sein de l'entreprise ?</t>
  </si>
  <si>
    <t xml:space="preserve">L'identification est laissée aux managers individuels, sans méthode commune.</t>
  </si>
  <si>
    <t xml:space="preserve">Des exigences de reporting standardisées existent, mais le processus et la qualité varient selon les unités.</t>
  </si>
  <si>
    <t xml:space="preserve">Les principaux risques sont identifiés à intervalles réguliers selon un processus standardisé.</t>
  </si>
  <si>
    <t xml:space="preserve">Les risques sont identifiés et validés de façon cohérente à tous les niveaux, en intégrant les retours d'expérience.</t>
  </si>
  <si>
    <t xml:space="preserve">Les risques nouveaux ou émergents sont identifiés en continu à partir de sources internes et externes variées.</t>
  </si>
  <si>
    <t xml:space="preserve">4.2</t>
  </si>
  <si>
    <t xml:space="preserve">Existe-t-il une vision consolidée (portefeuille) des risques au niveau de l'entreprise ?</t>
  </si>
  <si>
    <t xml:space="preserve">Non, les risques ne sont pas centralisés, rendant impossible une vision cohérente.</t>
  </si>
  <si>
    <t xml:space="preserve">Les risques majeurs des unités sont remontés au niveau entreprise après validation par la direction.</t>
  </si>
  <si>
    <t xml:space="preserve">Une vision de portefeuille validée par la gouvernance existe, avec un profil de risque par niveau.</t>
  </si>
  <si>
    <t xml:space="preserve">L'identification intègre les interrelations entre risques et est diffusée dans les plans à tous les niveaux.</t>
  </si>
  <si>
    <t xml:space="preserve">Les risques et leurs interrelations font l'objet de revues par les pairs et sont intégrés aux objectifs globaux.</t>
  </si>
  <si>
    <t xml:space="preserve">4.3</t>
  </si>
  <si>
    <t xml:space="preserve">Une veille sur les risques émergents (horizon scanning) est-elle organisée ?</t>
  </si>
  <si>
    <t xml:space="preserve">Aucune veille organisée ; les nouveaux risques sont découverts lorsqu'ils se matérialisent.</t>
  </si>
  <si>
    <t xml:space="preserve">Une veille informelle existe, portée par quelques personnes, sans restitution structurée.</t>
  </si>
  <si>
    <t xml:space="preserve">Une veille est organisée périodiquement et ses conclusions sont présentées à la gouvernance.</t>
  </si>
  <si>
    <t xml:space="preserve">La veille couvre plusieurs horizons et alimente formellement la révision de la cartographie des risques.</t>
  </si>
  <si>
    <t xml:space="preserve">La veille est continue, outillée, et déclenche automatiquement des réévaluations de risques.</t>
  </si>
  <si>
    <t xml:space="preserve">5.1</t>
  </si>
  <si>
    <t xml:space="preserve">Quelles méthodes d'analyse des risques sont utilisées ?</t>
  </si>
  <si>
    <t xml:space="preserve">Les risques ne sont pas analysés formellement, ou de façon incohérente selon le jugement individuel.</t>
  </si>
  <si>
    <t xml:space="preserve">L'analyse est standardisée mais basique, reposant sur des jugements subjectifs variables selon les unités.</t>
  </si>
  <si>
    <t xml:space="preserve">Des techniques quantitatives standardisées complètent l'analyse qualitative ; des scénarios sont utilisés sur les zones à risque.</t>
  </si>
  <si>
    <t xml:space="preserve">Les approches quantitatives sont systématiques ; scénarios et simulations sont réguliers, avec des seuils déclencheurs de réévaluation.</t>
  </si>
  <si>
    <t xml:space="preserve">L'analyse s'appuie sur un système intégré combinant données internes/externes en temps réel et modélisation cause-effet.</t>
  </si>
  <si>
    <t xml:space="preserve">5.2</t>
  </si>
  <si>
    <t xml:space="preserve">Comment les risques sont-ils priorisés ?</t>
  </si>
  <si>
    <t xml:space="preserve">La priorisation se limite aux projets à fort enjeu réputationnel ; le reste suit une logique de routine.</t>
  </si>
  <si>
    <t xml:space="preserve">Une mesure large de l'ampleur des risques est dérivée de jugements qualitatifs de probabilité et d'impact.</t>
  </si>
  <si>
    <t xml:space="preserve">Un portefeuille priorisé de risques existe, articulé autour des objectifs métier et des opportunités associées.</t>
  </si>
  <si>
    <t xml:space="preserve">Le portefeuille priorisé est évalué dans le contexte global des objectifs, en croisant vues descendante et ascendante.</t>
  </si>
  <si>
    <t xml:space="preserve">Le portefeuille est mis à jour en continu et intègre les risques portés par l'écosystème externe.</t>
  </si>
  <si>
    <t xml:space="preserve">5.3</t>
  </si>
  <si>
    <t xml:space="preserve">Le risque résiduel (après contrôles) est-il distingué du risque brut et mesuré ?</t>
  </si>
  <si>
    <t xml:space="preserve">La notion de risque résiduel n'est pas utilisée.</t>
  </si>
  <si>
    <t xml:space="preserve">La distinction est connue mais appliquée de façon irrégulière selon les unités.</t>
  </si>
  <si>
    <t xml:space="preserve">Risque brut et résiduel sont évalués de façon standardisée pour les risques significatifs.</t>
  </si>
  <si>
    <t xml:space="preserve">Le risque résiduel est systématiquement rapporté à la tolérance définie, avec escalade en cas de dépassement.</t>
  </si>
  <si>
    <t xml:space="preserve">Le risque résiduel est recalculé dynamiquement en fonction de l'efficacité mesurée des contrôles.</t>
  </si>
  <si>
    <t xml:space="preserve">6.1</t>
  </si>
  <si>
    <t xml:space="preserve">Comment les plans de traitement sont-ils élaborés ?</t>
  </si>
  <si>
    <t xml:space="preserve">Il n'existe pas de plan formalisé, hormis quelques mesures de contingence ponctuelles.</t>
  </si>
  <si>
    <t xml:space="preserve">Des plans sont développés par unité, dans un format standardisé mais avec une approche souvent subjective.</t>
  </si>
  <si>
    <t xml:space="preserve">Les plans sont développés de façon standardisée et éclairée par les données, avec une coordination entre unités.</t>
  </si>
  <si>
    <t xml:space="preserve">L'ensemble des options est testé de façon transverse, y compris pour les risques interreliés ; les résultats sont mesurés.</t>
  </si>
  <si>
    <t xml:space="preserve">Les options de traitement sont générées par un système intégré calculant coûts/bénéfices sur un large jeu de paramètres.</t>
  </si>
  <si>
    <t xml:space="preserve">6.2</t>
  </si>
  <si>
    <t xml:space="preserve">Comment le suivi de l'efficacité des traitements est-il assuré ?</t>
  </si>
  <si>
    <t xml:space="preserve">Le suivi se limite aux activités d'audit ou de conformité ; peu de remontée hors projets phares.</t>
  </si>
  <si>
    <t xml:space="preserve">Les traitements sont mis en œuvre par unité et reportés périodiquement, avec une validation limitée.</t>
  </si>
  <si>
    <t xml:space="preserve">La gouvernance examine et challenge régulièrement les propositions de traitement au niveau entreprise.</t>
  </si>
  <si>
    <t xml:space="preserve">La validation des plans, y compris leurs interrelations, est transverse ; leur efficacité est testée périodiquement.</t>
  </si>
  <si>
    <t xml:space="preserve">Les traitements sont surveillés en continu, avec des recommandations d'ajustement formulées en temps réel.</t>
  </si>
  <si>
    <t xml:space="preserve">6.3</t>
  </si>
  <si>
    <t xml:space="preserve">Les plans d'action sont-ils dotés d'un responsable, d'une échéance et de moyens ?</t>
  </si>
  <si>
    <t xml:space="preserve">Les actions décidées ne sont ni nommément attribuées ni datées.</t>
  </si>
  <si>
    <t xml:space="preserve">Un responsable est désigné, mais les échéances glissent sans conséquence et les moyens ne sont pas sécurisés.</t>
  </si>
  <si>
    <t xml:space="preserve">Chaque action a un responsable, une échéance et un budget identifiés, suivis dans un outil ou un tableau centralisé.</t>
  </si>
  <si>
    <t xml:space="preserve">Le suivi des actions est intégré au pilotage de la performance ; les retards font l'objet d'une escalade formelle.</t>
  </si>
  <si>
    <t xml:space="preserve">L'avancement des actions est suivi en continu, avec alertes automatiques et réallocation dynamique des moyens.</t>
  </si>
  <si>
    <t xml:space="preserve">7.1</t>
  </si>
  <si>
    <t xml:space="preserve">À quelle fréquence et selon quelle méthode l'efficacité du dispositif est-elle évaluée ?</t>
  </si>
  <si>
    <t xml:space="preserve">Les revues sont réalisées de façon réactive, après un incident majeur ou un impact réputationnel.</t>
  </si>
  <si>
    <t xml:space="preserve">L'efficacité est évaluée de façon générale une fois par an, ainsi qu'après un risque majeur survenu.</t>
  </si>
  <si>
    <t xml:space="preserve">Des revues régulières sont menées sur les zones à risque élevé, avec des plans d'action suivis par la direction.</t>
  </si>
  <si>
    <t xml:space="preserve">Les résultats sont intégrés au reporting de performance régulier et comparés à d'autres organisations.</t>
  </si>
  <si>
    <t xml:space="preserve">L'efficacité est évaluée en continu et fait l'objet de revues indépendantes contre les meilleures pratiques.</t>
  </si>
  <si>
    <t xml:space="preserve">7.2</t>
  </si>
  <si>
    <t xml:space="preserve">Les recommandations issues des revues donnent-elles lieu à des actions suivies ?</t>
  </si>
  <si>
    <t xml:space="preserve">Les changements se limitent à l'enjeu ponctuel ayant déclenché la revue.</t>
  </si>
  <si>
    <t xml:space="preserve">Des recommandations sont transmises aux responsables concernés, sans suivi systématique.</t>
  </si>
  <si>
    <t xml:space="preserve">Des plans d'action sont mis en place et leur avancement est suivi par la direction.</t>
  </si>
  <si>
    <t xml:space="preserve">Le suivi est systématique, intégré au reporting régulier, avec escalade des recommandations non soldées.</t>
  </si>
  <si>
    <t xml:space="preserve">Le suivi est continu et l'efficacité réelle des recommandations mises en œuvre est mesurée.</t>
  </si>
  <si>
    <t xml:space="preserve">7.3</t>
  </si>
  <si>
    <t xml:space="preserve">Le dispositif est-il ajusté après un incident réel (boucle d'apprentissage) ?</t>
  </si>
  <si>
    <t xml:space="preserve">Les incidents ne donnent pas lieu à une révision du dispositif.</t>
  </si>
  <si>
    <t xml:space="preserve">Un retour d'expérience est fait pour les incidents majeurs, mais les enseignements restent locaux.</t>
  </si>
  <si>
    <t xml:space="preserve">Les RETEX alimentent la révision de la cartographie et des plans de traitement concernés.</t>
  </si>
  <si>
    <t xml:space="preserve">Les enseignements sont diffusés à l'ensemble de l'organisation et intégrés aux processus, pas seulement au domaine touché.</t>
  </si>
  <si>
    <t xml:space="preserve">L'apprentissage est systématisé : chaque événement, y compris les quasi-incidents, alimente l'ajustement du dispositif.</t>
  </si>
  <si>
    <t xml:space="preserve">8.1</t>
  </si>
  <si>
    <t xml:space="preserve">Comment l'information sur les risques est-elle collectée et partagée ?</t>
  </si>
  <si>
    <t xml:space="preserve">L'extraction est largement manuelle, avec une qualité très variable selon les unités.</t>
  </si>
  <si>
    <t xml:space="preserve">Des modèles de reporting et des canaux sont définis, mais appliqués de façon inégale.</t>
  </si>
  <si>
    <t xml:space="preserve">Les systèmes existants sont utilisés pour collecter l'information ; standards et propriété des données sont définis.</t>
  </si>
  <si>
    <t xml:space="preserve">Des données fiables et actualisées sont intégrées au reporting et accessibles à la demande via un référentiel central.</t>
  </si>
  <si>
    <t xml:space="preserve">Des outils d'analyse avancés produisent une information exploitable, de plus en plus en temps réel et accessible largement.</t>
  </si>
  <si>
    <t xml:space="preserve">8.2</t>
  </si>
  <si>
    <t xml:space="preserve">Le reporting relie-t-il indicateurs (KPI/KRI), risques et objectifs ?</t>
  </si>
  <si>
    <t xml:space="preserve">L'information n'est communiquée que sur demande ou en cas d'escalade individuelle.</t>
  </si>
  <si>
    <t xml:space="preserve">Des indicateurs de base existent pour les processus clés ; les écarts significatifs déclenchent des investigations.</t>
  </si>
  <si>
    <t xml:space="preserve">Le reporting est cohérent et relie les indicateurs aux risques et objectifs, avec une qualité de données variable.</t>
  </si>
  <si>
    <t xml:space="preserve">Le format est évalué avec les utilisateurs et ajusté à leurs besoins ; des méthodes dédiées mesurent la culture du risque.</t>
  </si>
  <si>
    <t xml:space="preserve">Le reporting est personnalisable, permet une analyse détaillée des risques interreliés, et son efficacité est évaluée périodiquement.</t>
  </si>
  <si>
    <t xml:space="preserve">8.3</t>
  </si>
  <si>
    <t xml:space="preserve">L'information sur les risques parvient-elle aux instances au bon moment pour décider ?</t>
  </si>
  <si>
    <t xml:space="preserve">L'information arrive trop tard ou de façon fragmentée pour éclairer une décision.</t>
  </si>
  <si>
    <t xml:space="preserve">L'information est disponible à échéance fixe, sans capacité d'escalade rapide hors calendrier.</t>
  </si>
  <si>
    <t xml:space="preserve">Un mécanisme d'escalade est défini pour les risques dépassant un seuil, avec des délais convenus.</t>
  </si>
  <si>
    <t xml:space="preserve">L'information critique remonte rapidement et de façon fiable, avec un dispositif d'alerte éprouvé.</t>
  </si>
  <si>
    <t xml:space="preserve">La remontée est continue et automatisée, permettant une décision quasi immédiate sur les risques majeurs.</t>
  </si>
  <si>
    <t xml:space="preserve">9.1</t>
  </si>
  <si>
    <t xml:space="preserve">Une analyse d'impact sur l'activité (BIA) est-elle réalisée et maintenue ?</t>
  </si>
  <si>
    <t xml:space="preserve">Aucun BIA n'a été réalisé ; les activités critiques ne sont pas formellement identifiées.</t>
  </si>
  <si>
    <t xml:space="preserve">Un recensement des activités critiques existe, sans RTO/RPO formalisés ni validation métier.</t>
  </si>
  <si>
    <t xml:space="preserve">Un BIA est réalisé pour les processus critiques, avec RTO/RPO définis et validés par les métiers.</t>
  </si>
  <si>
    <t xml:space="preserve">Le BIA couvre l'ensemble du périmètre, est revu annuellement et intègre les dépendances (SI, fournisseurs, sites, compétences).</t>
  </si>
  <si>
    <t xml:space="preserve">Le BIA est maintenu dynamiquement et ses paramètres sont réévalués automatiquement lors des changements structurants.</t>
  </si>
  <si>
    <t xml:space="preserve">9.2</t>
  </si>
  <si>
    <t xml:space="preserve">Des stratégies et plans de continuité/reprise (PCA/PRA) sont-ils formalisés ?</t>
  </si>
  <si>
    <t xml:space="preserve">Aucun plan formalisé ; la réponse reposerait sur l'improvisation et les personnes présentes.</t>
  </si>
  <si>
    <t xml:space="preserve">Des plans partiels existent pour certains domaines (souvent le SI), sans cohérence d'ensemble.</t>
  </si>
  <si>
    <t xml:space="preserve">Des PCA/PRA documentés couvrent les activités critiques, avec des stratégies de continuité arbitrées et validées.</t>
  </si>
  <si>
    <t xml:space="preserve">Les plans couvrent plusieurs scénarios (indisponibilité SI, site, fournisseur, cyber, énergie) et sont maintenus en condition opérationnelle.</t>
  </si>
  <si>
    <t xml:space="preserve">Les plans sont vivants, versionnés, reliés à la cartographie des dépendances et ajustés en continu.</t>
  </si>
  <si>
    <t xml:space="preserve">9.3</t>
  </si>
  <si>
    <t xml:space="preserve">Les plans sont-ils testés, et les résultats des tests exploités ?</t>
  </si>
  <si>
    <t xml:space="preserve">Aucun test n'a été réalisé.</t>
  </si>
  <si>
    <t xml:space="preserve">Des tests techniques ponctuels ont lieu (bascule, restauration), sans scénario métier ni RETEX formalisé.</t>
  </si>
  <si>
    <t xml:space="preserve">Un programme de tests annuel couvre les plans critiques, avec un RETEX et des actions correctives.</t>
  </si>
  <si>
    <t xml:space="preserve">Le programme de tests est pluriannuel et gradué (technique, métier, bout en bout), avec mesure des RTO réellement atteints.</t>
  </si>
  <si>
    <t xml:space="preserve">Les tests sont fréquents, parfois inopinés, et leurs résultats alimentent automatiquement la révision des plans et des RTO.</t>
  </si>
  <si>
    <t xml:space="preserve">10.1</t>
  </si>
  <si>
    <t xml:space="preserve">Un dispositif de crise (cellule, critères d'activation, chaîne d'alerte) est-il en place ?</t>
  </si>
  <si>
    <t xml:space="preserve">Il n'existe pas de dispositif ; la réponse dépendrait des personnes disponibles au moment de l'événement.</t>
  </si>
  <si>
    <t xml:space="preserve">Une cellule de crise existe sur le papier, sans critères d'activation clairs ni astreinte organisée.</t>
  </si>
  <si>
    <t xml:space="preserve">Le dispositif est formalisé : composition, critères et niveaux d'activation, chaîne d'alerte et moyens de repli documentés.</t>
  </si>
  <si>
    <t xml:space="preserve">Le dispositif est gradué par niveau de crise, avec suppléance des rôles, astreinte testée et articulation avec les parties prenantes externes.</t>
  </si>
  <si>
    <t xml:space="preserve">Le dispositif est activable en continu, outillé, et son déclenchement peut être suggéré automatiquement par les signaux de surveillance.</t>
  </si>
  <si>
    <t xml:space="preserve">10.2</t>
  </si>
  <si>
    <t xml:space="preserve">Des exercices de simulation de crise sont-ils conduits ?</t>
  </si>
  <si>
    <t xml:space="preserve">Aucun exercice n'a jamais été conduit.</t>
  </si>
  <si>
    <t xml:space="preserve">Des exercices ont eu lieu de façon isolée, sur table, sans implication de la direction générale.</t>
  </si>
  <si>
    <t xml:space="preserve">Un exercice annuel au moins est conduit sur un scénario réaliste, avec RETEX formalisé.</t>
  </si>
  <si>
    <t xml:space="preserve">Un programme d'exercices gradués implique le COMEX et les parties prenantes clés, avec des scénarios variés et évaluation par des observateurs.</t>
  </si>
  <si>
    <t xml:space="preserve">Les exercices sont fréquents, parfois inopinés, et leur difficulté est calibrée sur les faiblesses réelles identifiées.</t>
  </si>
  <si>
    <t xml:space="preserve">10.3</t>
  </si>
  <si>
    <t xml:space="preserve">La conduite de crise est-elle tracée et exploitée (main courante, RETEX, communication) ?</t>
  </si>
  <si>
    <t xml:space="preserve">Aucune traçabilité ; les décisions prises en situation ne sont pas consignées.</t>
  </si>
  <si>
    <t xml:space="preserve">Une trace partielle existe (messages, comptes rendus), sans main courante structurée ni RETEX systématique.</t>
  </si>
  <si>
    <t xml:space="preserve">Une main courante est tenue et un RETEX est produit après chaque activation, avec un plan d'action associé.</t>
  </si>
  <si>
    <t xml:space="preserve">Le RETEX est systématique, suivi jusqu'à clôture, et intègre la communication de crise (interne, clients, régulateur, médias).</t>
  </si>
  <si>
    <t xml:space="preserve">La traçabilité est outillée en temps réel et alimente automatiquement l'analyse post-crise et l'amélioration du dispositif.</t>
  </si>
  <si>
    <t xml:space="preserve">11.1</t>
  </si>
  <si>
    <t xml:space="preserve">Les dépendances critiques sont-elles cartographiées (fournisseurs, sites, SI, compétences) ?</t>
  </si>
  <si>
    <t xml:space="preserve">Les dépendances critiques ne sont pas identifiées de façon structurée.</t>
  </si>
  <si>
    <t xml:space="preserve">Certaines dépendances sont connues des équipes concernées, sans cartographie consolidée.</t>
  </si>
  <si>
    <t xml:space="preserve">Un référentiel des dépendances critiques existe et est relié aux activités critiques.</t>
  </si>
  <si>
    <t xml:space="preserve">Le référentiel couvre les dépendances de rang 2 (fournisseurs de fournisseurs) et alimente les décisions d'achat et d'architecture.</t>
  </si>
  <si>
    <t xml:space="preserve">La cartographie est dynamique, alimentée par des données de surveillance, et détecte les concentrations de risque en continu.</t>
  </si>
  <si>
    <t xml:space="preserve">11.2</t>
  </si>
  <si>
    <t xml:space="preserve">La résilience est-elle intégrée dès la conception des projets, achats et architectures ?</t>
  </si>
  <si>
    <t xml:space="preserve">La résilience n'est pas un critère ; elle est traitée après coup, si elle l'est.</t>
  </si>
  <si>
    <t xml:space="preserve">La résilience est évoquée dans certains grands projets, sans exigence formelle.</t>
  </si>
  <si>
    <t xml:space="preserve">Des exigences de résilience sont intégrées aux jalons projet et aux cahiers des charges d'achat.</t>
  </si>
  <si>
    <t xml:space="preserve">La résilience est un critère de décision structurant (architecture, sourcing, implantation), avec arbitrage documenté.</t>
  </si>
  <si>
    <t xml:space="preserve">La résilience est conçue nativement dans l'ensemble des choix structurants, avec évaluation quantifiée des gains.</t>
  </si>
  <si>
    <t xml:space="preserve">11.3</t>
  </si>
  <si>
    <t xml:space="preserve">L'organisation démontre-t-elle sa capacité d'adaptation face aux perturbations réelles ?</t>
  </si>
  <si>
    <t xml:space="preserve">Les perturbations passées ont provoqué une désorganisation durable, sans apprentissage.</t>
  </si>
  <si>
    <t xml:space="preserve">L'organisation a absorbé des perturbations, essentiellement grâce à l'engagement individuel plutôt qu'au dispositif.</t>
  </si>
  <si>
    <t xml:space="preserve">L'organisation a démontré sa capacité à maintenir ses activités critiques lors de perturbations réelles.</t>
  </si>
  <si>
    <t xml:space="preserve">La capacité d'adaptation est mesurée (temps de retour à la normale, pertes évitées) et s'améliore d'un événement à l'autre.</t>
  </si>
  <si>
    <t xml:space="preserve">L'organisation se réorganise rapidement face à l'inattendu et transforme les perturbations en opportunités d'amélioration structurelle.</t>
  </si>
  <si>
    <t xml:space="preserve">Questions répondues :</t>
  </si>
  <si>
    <t xml:space="preserve">Résultats de l'évaluation</t>
  </si>
  <si>
    <t xml:space="preserve">Calcul automatique — aucune saisie requise sur cet onglet.</t>
  </si>
  <si>
    <t xml:space="preserve">Score /5</t>
  </si>
  <si>
    <t xml:space="preserve">Contribution</t>
  </si>
  <si>
    <t xml:space="preserve">Niveau atteint</t>
  </si>
  <si>
    <t xml:space="preserve">Réponses</t>
  </si>
  <si>
    <t xml:space="preserve">SCORE GLOBAL PONDÉRÉ</t>
  </si>
  <si>
    <t xml:space="preserve">Grille d'interprétation</t>
  </si>
  <si>
    <t xml:space="preserve">Score moyen</t>
  </si>
  <si>
    <t xml:space="preserve">Niveau</t>
  </si>
  <si>
    <t xml:space="preserve">1,00 – 1,80</t>
  </si>
  <si>
    <t xml:space="preserve">1,81 – 2,60</t>
  </si>
  <si>
    <t xml:space="preserve">2,61 – 3,40</t>
  </si>
  <si>
    <t xml:space="preserve">3,41 – 4,20</t>
  </si>
  <si>
    <t xml:space="preserve">4,21 – 5,00</t>
  </si>
  <si>
    <t xml:space="preserve">Recommandations personnalisées</t>
  </si>
  <si>
    <t xml:space="preserve">Généré automatiquement à partir du niveau atteint sur chaque dimension. Traitez en priorité les dimensions dont le score apparaît en rouge ou en orange, en tenant compte de leur poids.</t>
  </si>
  <si>
    <t xml:space="preserve">Diagnostic</t>
  </si>
  <si>
    <t xml:space="preserve">Actions court terme (0–6 mois)</t>
  </si>
  <si>
    <t xml:space="preserve">Actions moyen terme (6–18 mois)</t>
  </si>
  <si>
    <t xml:space="preserve">Référentiel des recommandations (11 dimensions × 5 niveaux) — onglet technique, ne pas modifier</t>
  </si>
  <si>
    <t xml:space="preserve">Clé</t>
  </si>
  <si>
    <t xml:space="preserve">1. Stratégie|Émergent</t>
  </si>
  <si>
    <t xml:space="preserve">La stratégie est pilotée sans lecture prospective des risques ; les décisions subissent les événements au lieu de les anticiper.</t>
  </si>
  <si>
    <t xml:space="preserve">Introduire un point « principaux risques de mise en œuvre » dans le prochain cycle de planification. Recenser les 10 risques majeurs pouvant compromettre les objectifs de l'année.</t>
  </si>
  <si>
    <t xml:space="preserve">Formaliser une première déclaration d'appétit au risque validée par la direction générale et reliée aux objectifs stratégiques.</t>
  </si>
  <si>
    <t xml:space="preserve">1. Stratégie|En progression</t>
  </si>
  <si>
    <t xml:space="preserve">Le lien entre stratégie et risque existe mais reste ponctuel et déconnecté de l'appétit au risque.</t>
  </si>
  <si>
    <t xml:space="preserve">Structurer l'analyse des risques stratégiques selon un format unique appliqué à toutes les directions. Relier chaque objectif majeur à ses risques d'atteinte.</t>
  </si>
  <si>
    <t xml:space="preserve">Publier une déclaration d'appétit au risque intégrant les arbitrages, et l'utiliser explicitement lors des arbitrages budgétaires.</t>
  </si>
  <si>
    <t xml:space="preserve">1. Stratégie|Établi</t>
  </si>
  <si>
    <t xml:space="preserve">La démarche est en place et cohérente ; le potentiel de progression porte sur la prospective et la granularité de l'appétit au risque.</t>
  </si>
  <si>
    <t xml:space="preserve">Mettre en place une revue semestrielle de l'appétit au risque par la gouvernance, à la lumière des événements survenus.</t>
  </si>
  <si>
    <t xml:space="preserve">Déployer une veille prospective et des exercices de scénarios impliquant des parties prenantes externes (régulateur, fournisseurs clés, pairs).</t>
  </si>
  <si>
    <t xml:space="preserve">1. Stratégie|Avancé</t>
  </si>
  <si>
    <t xml:space="preserve">Le dispositif est mature ; l'enjeu devient la finesse et la réactivité des ajustements.</t>
  </si>
  <si>
    <t xml:space="preserve">Décliner l'appétit au risque en tolérances chiffrées par domaine et les intégrer aux tableaux de bord de direction.</t>
  </si>
  <si>
    <t xml:space="preserve">Automatiser le suivi des indicateurs stratégiques de risque pour raccourcir le délai entre signal et ajustement de trajectoire.</t>
  </si>
  <si>
    <t xml:space="preserve">1. Stratégie|Aspirationnel</t>
  </si>
  <si>
    <t xml:space="preserve">Niveau de référence. L'enjeu est le maintien dans la durée et le partage de la pratique.</t>
  </si>
  <si>
    <t xml:space="preserve">Documenter la démarche pour la pérenniser au-delà des personnes en place.</t>
  </si>
  <si>
    <t xml:space="preserve">Se positionner en référence sectorielle et challenger le modèle par des revues externes indépendantes.</t>
  </si>
  <si>
    <t xml:space="preserve">2. Gouvernance|Émergent</t>
  </si>
  <si>
    <t xml:space="preserve">L'absence de structure claire empêche toute responsabilisation : les risques n'ont pas de propriétaire et ne sont pas arbitrés.</t>
  </si>
  <si>
    <t xml:space="preserve">Désigner un responsable de la gestion des risques et un sponsor au niveau de la direction générale. Établir la liste des instances existantes et de leur rôle réel en matière de risque.</t>
  </si>
  <si>
    <t xml:space="preserve">Créer un comité des risques avec mandat écrit, fréquence de réunion et ordre du jour type.</t>
  </si>
  <si>
    <t xml:space="preserve">2. Gouvernance|En progression</t>
  </si>
  <si>
    <t xml:space="preserve">Une gouvernance existe mais reste cloisonnée : l'information circule mal entre instances et la responsabilité est partielle.</t>
  </si>
  <si>
    <t xml:space="preserve">Formaliser un mandat écrit pour chaque instance et supprimer les zones de recouvrement. Instaurer un reporting périodique standard au comité de direction.</t>
  </si>
  <si>
    <t xml:space="preserve">Déployer une matrice RACI des risques par direction et clarifier l'articulation entre métiers, fonction risque et audit.</t>
  </si>
  <si>
    <t xml:space="preserve">2. Gouvernance|Établi</t>
  </si>
  <si>
    <t xml:space="preserve">La gouvernance est structurée et fonctionne ; les marges portent sur la profondeur des arbitrages et la coordination des lignes de défense.</t>
  </si>
  <si>
    <t xml:space="preserve">Faire approuver formellement les tolérances au risque pour les risques majeurs par l'instance transverse.</t>
  </si>
  <si>
    <t xml:space="preserve">Construire un plan d'assurance coordonné entre fonction risque, conformité et audit pour éliminer les angles morts et les doublons.</t>
  </si>
  <si>
    <t xml:space="preserve">2. Gouvernance|Avancé</t>
  </si>
  <si>
    <t xml:space="preserve">Gouvernance solide. L'enjeu est la vérification indépendante de son efficacité réelle.</t>
  </si>
  <si>
    <t xml:space="preserve">Soumettre le dispositif à une évaluation indépendante (audit interne ou externe) sur son efficacité, pas seulement sa conformité.</t>
  </si>
  <si>
    <t xml:space="preserve">Développer la capacité de décision rapide hors calendrier pour les risques à cinétique courte.</t>
  </si>
  <si>
    <t xml:space="preserve">2. Gouvernance|Aspirationnel</t>
  </si>
  <si>
    <t xml:space="preserve">Niveau de référence. Le risque principal devient la complaisance.</t>
  </si>
  <si>
    <t xml:space="preserve">Maintenir la cadence des évaluations indépendantes et faire challenger la gouvernance par des regards externes.</t>
  </si>
  <si>
    <t xml:space="preserve">Partager la pratique et tester le dispositif sur des scénarios inédits pour éviter l'auto-satisfaction.</t>
  </si>
  <si>
    <t xml:space="preserve">3. Culture|Émergent</t>
  </si>
  <si>
    <t xml:space="preserve">La gestion des risques est perçue comme une contrainte administrative ; les alertes ne remontent pas.</t>
  </si>
  <si>
    <t xml:space="preserve">Faire porter un message explicite par la direction générale sur l'attendu en matière de risque. Créer un canal de remontée d'alerte identifié et communiqué.</t>
  </si>
  <si>
    <t xml:space="preserve">Déployer une sensibilisation de base à l'ensemble de l'encadrement, avec des cas concrets issus de l'entreprise.</t>
  </si>
  <si>
    <t xml:space="preserve">3. Culture|En progression</t>
  </si>
  <si>
    <t xml:space="preserve">La culture progresse mais reste concentrée sur les projets visibles ; le reste de l'organisation n'est pas embarqué.</t>
  </si>
  <si>
    <t xml:space="preserve">Étendre les messages et la formation au-delà des projets à fort enjeu. Communiquer les suites données aux alertes remontées.</t>
  </si>
  <si>
    <t xml:space="preserve">Intégrer un objectif lié à la gestion des risques dans l'évaluation annuelle de l'encadrement.</t>
  </si>
  <si>
    <t xml:space="preserve">3. Culture|Établi</t>
  </si>
  <si>
    <t xml:space="preserve">La culture est installée. Le levier suivant est la mesure : on ne pilote pas ce qu'on ne mesure pas.</t>
  </si>
  <si>
    <t xml:space="preserve">Mettre en place une formation continue structurée plutôt que ponctuelle.</t>
  </si>
  <si>
    <t xml:space="preserve">Mesurer la culture du risque (enquête, indicateurs comportementaux) et comparer les résultats entre entités ou avec des pairs.</t>
  </si>
  <si>
    <t xml:space="preserve">3. Culture|Avancé</t>
  </si>
  <si>
    <t xml:space="preserve">Culture forte et valorisée. L'enjeu est l'ancrage dans les comportements quotidiens.</t>
  </si>
  <si>
    <t xml:space="preserve">Analyser les écarts de culture entre entités et cibler les moins matures.</t>
  </si>
  <si>
    <t xml:space="preserve">Ancrer la gestion des risques dans les valeurs et les rituels managériaux, au-delà des processus formels.</t>
  </si>
  <si>
    <t xml:space="preserve">3. Culture|Aspirationnel</t>
  </si>
  <si>
    <t xml:space="preserve">Niveau de référence.</t>
  </si>
  <si>
    <t xml:space="preserve">Préserver l'espace de parole et la sécurité psychologique qui permettent aux signaux faibles de remonter.</t>
  </si>
  <si>
    <t xml:space="preserve">Continuer à mesurer la culture pour détecter tout affaiblissement précoce.</t>
  </si>
  <si>
    <t xml:space="preserve">4. Identification des risques|Émergent</t>
  </si>
  <si>
    <t xml:space="preserve">Sans identification structurée, l'entreprise ne connaît pas son exposition : elle découvre ses risques quand ils surviennent.</t>
  </si>
  <si>
    <t xml:space="preserve">Conduire un premier atelier d'identification des risques par direction, selon une trame unique. Constituer un registre des risques centralisé.</t>
  </si>
  <si>
    <t xml:space="preserve">Instaurer un cycle d'identification périodique (au moins annuel) et désigner un propriétaire par risque.</t>
  </si>
  <si>
    <t xml:space="preserve">4. Identification des risques|En progression</t>
  </si>
  <si>
    <t xml:space="preserve">L'identification existe mais sa qualité est hétérogène ; la vision consolidée reste partielle.</t>
  </si>
  <si>
    <t xml:space="preserve">Harmoniser la trame et la maille de description des risques entre unités. Établir une taxonomie commune des risques.</t>
  </si>
  <si>
    <t xml:space="preserve">Construire une cartographie consolidée validée par la gouvernance, avec un profil de risque par direction.</t>
  </si>
  <si>
    <t xml:space="preserve">4. Identification des risques|Établi</t>
  </si>
  <si>
    <t xml:space="preserve">Le processus est standardisé et régulier. Les marges portent sur les interrelations et l'anticipation.</t>
  </si>
  <si>
    <t xml:space="preserve">Analyser explicitement les risques interreliés et les effets domino entre directions.</t>
  </si>
  <si>
    <t xml:space="preserve">Organiser une veille sur les risques émergents dont les conclusions alimentent formellement la cartographie.</t>
  </si>
  <si>
    <t xml:space="preserve">4. Identification des risques|Avancé</t>
  </si>
  <si>
    <t xml:space="preserve">Identification mature et cohérente. L'enjeu est la précocité de détection.</t>
  </si>
  <si>
    <t xml:space="preserve">Élargir les sources d'identification (externes, sectorielles, données opérationnelles, signaux faibles).</t>
  </si>
  <si>
    <t xml:space="preserve">Instaurer une revue par les pairs des risques et de leurs interrelations entre directions.</t>
  </si>
  <si>
    <t xml:space="preserve">4. Identification des risques|Aspirationnel</t>
  </si>
  <si>
    <t xml:space="preserve">Vérifier régulièrement que l'outillage ne crée pas d'angle mort sur les risques non modélisables.</t>
  </si>
  <si>
    <t xml:space="preserve">Maintenir une identification humaine complémentaire aux dispositifs automatisés.</t>
  </si>
  <si>
    <t xml:space="preserve">5. Analyse et évaluation des risques|Émergent</t>
  </si>
  <si>
    <t xml:space="preserve">Sans analyse structurée, la priorisation est arbitraire : les moyens ne vont pas nécessairement là où l'exposition est la plus forte.</t>
  </si>
  <si>
    <t xml:space="preserve">Adopter une échelle unique de cotation probabilité/impact et l'appliquer à tous les risques du registre.</t>
  </si>
  <si>
    <t xml:space="preserve">Produire une première matrice de criticité consolidée et l'utiliser pour prioriser les travaux de l'année.</t>
  </si>
  <si>
    <t xml:space="preserve">5. Analyse et évaluation des risques|En progression</t>
  </si>
  <si>
    <t xml:space="preserve">L'analyse est standardisée mais subjective ; les cotations varient d'une unité à l'autre.</t>
  </si>
  <si>
    <t xml:space="preserve">Calibrer les échelles avec des repères chiffrés (seuils financiers, durée d'indisponibilité, nombre de clients impactés) pour réduire la subjectivité.</t>
  </si>
  <si>
    <t xml:space="preserve">Introduire le risque résiduel après contrôles et le comparer à la tolérance définie.</t>
  </si>
  <si>
    <t xml:space="preserve">5. Analyse et évaluation des risques|Établi</t>
  </si>
  <si>
    <t xml:space="preserve">Le dispositif d'analyse est solide. Le levier est la quantification et l'usage des scénarios.</t>
  </si>
  <si>
    <t xml:space="preserve">Étendre les analyses de scénarios aux risques majeurs, au-delà des seules zones déjà identifiées comme sensibles.</t>
  </si>
  <si>
    <t xml:space="preserve">Développer les techniques quantitatives (analyse de sensibilité, valeur monétaire attendue, simulation) sur les risques financièrement matériels.</t>
  </si>
  <si>
    <t xml:space="preserve">5. Analyse et évaluation des risques|Avancé</t>
  </si>
  <si>
    <t xml:space="preserve">Analyse mature. L'enjeu est la dynamique et la lutte contre les biais.</t>
  </si>
  <si>
    <t xml:space="preserve">Formaliser des seuils déclencheurs de réévaluation des risques et les instrumenter.</t>
  </si>
  <si>
    <t xml:space="preserve">Mettre en place des mécanismes de réduction des biais de cotation (revue croisée, avocat du diable, calibration des évaluateurs).</t>
  </si>
  <si>
    <t xml:space="preserve">5. Analyse et évaluation des risques|Aspirationnel</t>
  </si>
  <si>
    <t xml:space="preserve">Vérifier que la sophistication du modèle n'écrase pas le jugement expert sur les risques atypiques.</t>
  </si>
  <si>
    <t xml:space="preserve">Faire auditer périodiquement les hypothèses des modèles quantitatifs.</t>
  </si>
  <si>
    <t xml:space="preserve">6. Traitement des risques|Émergent</t>
  </si>
  <si>
    <t xml:space="preserve">Les risques identifiés ne sont pas traités : l'entreprise sait, mais n'agit pas de façon organisée.</t>
  </si>
  <si>
    <t xml:space="preserve">Élaborer un plan de traitement pour les 10 risques les plus critiques, avec responsable et échéance nommés.</t>
  </si>
  <si>
    <t xml:space="preserve">Instaurer un format standard de plan de traitement précisant l'option retenue (réduire, transférer, éviter, accepter) et sa justification.</t>
  </si>
  <si>
    <t xml:space="preserve">6. Traitement des risques|En progression</t>
  </si>
  <si>
    <t xml:space="preserve">Les plans existent mais leur qualité dépend de l'engagement des managers ; le suivi est faible.</t>
  </si>
  <si>
    <t xml:space="preserve">Instaurer un suivi centralisé des actions avec revue mensuelle des retards.</t>
  </si>
  <si>
    <t xml:space="preserve">Exiger une analyse coûts/bénéfices documentée pour les traitements significatifs, et sécuriser les budgets associés.</t>
  </si>
  <si>
    <t xml:space="preserve">6. Traitement des risques|Établi</t>
  </si>
  <si>
    <t xml:space="preserve">Le traitement est organisé et coordonné. Les marges portent sur la mesure d'efficacité.</t>
  </si>
  <si>
    <t xml:space="preserve">Tester l'efficacité réelle des traitements majeurs plutôt que de constater leur mise en œuvre.</t>
  </si>
  <si>
    <t xml:space="preserve">Analyser les risques induits par les traitements eux-mêmes et les traiter dans le même cadre.</t>
  </si>
  <si>
    <t xml:space="preserve">6. Traitement des risques|Avancé</t>
  </si>
  <si>
    <t xml:space="preserve">Traitement mature. L'enjeu est la réactivité de l'ajustement.</t>
  </si>
  <si>
    <t xml:space="preserve">Définir des seuils déclencheurs d'ajustement des traitements et les instrumenter.</t>
  </si>
  <si>
    <t xml:space="preserve">Prévoir explicitement les cas où le traitement impose de réviser un objectif ou une stratégie, plutôt que de contraindre le risque.</t>
  </si>
  <si>
    <t xml:space="preserve">6. Traitement des risques|Aspirationnel</t>
  </si>
  <si>
    <t xml:space="preserve">S'assurer que l'automatisation n'aboutit pas à des traitements optimisés localement mais contre-productifs globalement.</t>
  </si>
  <si>
    <t xml:space="preserve">Étendre la logique aux risques portés par l'écosystème (fournisseurs, partenaires, régulateur).</t>
  </si>
  <si>
    <t xml:space="preserve">7. Revue et révision|Émergent</t>
  </si>
  <si>
    <t xml:space="preserve">Le dispositif ne s'améliore qu'après un choc, et seulement sur le point touché : les mêmes causes produiront les mêmes effets ailleurs.</t>
  </si>
  <si>
    <t xml:space="preserve">Instituer une revue annuelle du dispositif de gestion des risques, indépendamment de tout incident.</t>
  </si>
  <si>
    <t xml:space="preserve">Systématiser un retour d'expérience formalisé après chaque incident significatif, avec plan d'action suivi.</t>
  </si>
  <si>
    <t xml:space="preserve">7. Revue et révision|En progression</t>
  </si>
  <si>
    <t xml:space="preserve">Les revues ont lieu mais leurs conclusions restent locales et peu suivies.</t>
  </si>
  <si>
    <t xml:space="preserve">Mettre en place un suivi des recommandations jusqu'à clôture, avec un point régulier en comité.</t>
  </si>
  <si>
    <t xml:space="preserve">Diffuser les enseignements des incidents à l'ensemble de l'organisation, pas seulement au domaine concerné.</t>
  </si>
  <si>
    <t xml:space="preserve">7. Revue et révision|Établi</t>
  </si>
  <si>
    <t xml:space="preserve">Les revues sont régulières et suivies. Le levier est l'élargissement du périmètre et la comparaison externe.</t>
  </si>
  <si>
    <t xml:space="preserve">Étendre les revues au-delà des seules zones à risque élevé, pour détecter les faiblesses dans les domaines réputés stables.</t>
  </si>
  <si>
    <t xml:space="preserve">Comparer le dispositif à celui d'organisations comparables (benchmark sectoriel) pour objectiver le niveau réel.</t>
  </si>
  <si>
    <t xml:space="preserve">7. Revue et révision|Avancé</t>
  </si>
  <si>
    <t xml:space="preserve">Revue mature et intégrée. L'enjeu est l'indépendance du regard.</t>
  </si>
  <si>
    <t xml:space="preserve">Faire évaluer périodiquement l'efficacité du dispositif par un tiers indépendant.</t>
  </si>
  <si>
    <t xml:space="preserve">Mesurer l'effet réel des recommandations mises en œuvre, et pas seulement leur taux de réalisation.</t>
  </si>
  <si>
    <t xml:space="preserve">7. Revue et révision|Aspirationnel</t>
  </si>
  <si>
    <t xml:space="preserve">Maintenir la revue indépendante et éviter que l'outillage ne remplace le regard critique.</t>
  </si>
  <si>
    <t xml:space="preserve">Exploiter les quasi-incidents (near-miss) comme source principale d'apprentissage.</t>
  </si>
  <si>
    <t xml:space="preserve">8. Information et reporting|Émergent</t>
  </si>
  <si>
    <t xml:space="preserve">L'information sur les risques n'atteint pas les décideurs à temps ni sous une forme exploitable.</t>
  </si>
  <si>
    <t xml:space="preserve">Définir un format unique de reporting des risques et une fréquence minimale de remontée.</t>
  </si>
  <si>
    <t xml:space="preserve">Identifier 5 à 10 indicateurs clés de risque (KRI) sur les processus les plus critiques et les instrumenter.</t>
  </si>
  <si>
    <t xml:space="preserve">8. Information et reporting|En progression</t>
  </si>
  <si>
    <t xml:space="preserve">Les formats existent mais l'application est inégale ; la qualité des données limite la fiabilité des décisions.</t>
  </si>
  <si>
    <t xml:space="preserve">Désigner un propriétaire de la donnée risque et fixer des standards de qualité et de fraîcheur.</t>
  </si>
  <si>
    <t xml:space="preserve">Relier explicitement chaque indicateur à un risque et à un objectif, et définir des seuils d'escalade.</t>
  </si>
  <si>
    <t xml:space="preserve">8. Information et reporting|Établi</t>
  </si>
  <si>
    <t xml:space="preserve">Le reporting est cohérent. Les marges portent sur la qualité des données et l'adaptation aux utilisateurs.</t>
  </si>
  <si>
    <t xml:space="preserve">Homogénéiser la fraîcheur et la fiabilité des données entre unités, qui restent le point faible.</t>
  </si>
  <si>
    <t xml:space="preserve">Construire un référentiel central des données de risque interrogeable par les décideurs et les propriétaires de risque.</t>
  </si>
  <si>
    <t xml:space="preserve">8. Information et reporting|Avancé</t>
  </si>
  <si>
    <t xml:space="preserve">Reporting mature. L'enjeu est la personnalisation et la vitesse.</t>
  </si>
  <si>
    <t xml:space="preserve">Interroger les destinataires sur ce dont ils ont réellement besoin, et supprimer ce qui n'est pas utilisé.</t>
  </si>
  <si>
    <t xml:space="preserve">Développer les capacités d'analyse détaillée (drill-down) sur les risques interreliés.</t>
  </si>
  <si>
    <t xml:space="preserve">8. Information et reporting|Aspirationnel</t>
  </si>
  <si>
    <t xml:space="preserve">Évaluer périodiquement l'efficacité réelle des canaux de communication, pas seulement leur existence.</t>
  </si>
  <si>
    <t xml:space="preserve">Veiller à ce que le volume d'information en temps réel ne dégrade pas la capacité de discernement.</t>
  </si>
  <si>
    <t xml:space="preserve">9. Continuité d'activité (PCA/PRA)|Émergent</t>
  </si>
  <si>
    <t xml:space="preserve">Sans BIA ni plan, l'entreprise ne sait ni ce qu'elle doit sauver en priorité, ni en combien de temps : toute interruption majeure serait subie.</t>
  </si>
  <si>
    <t xml:space="preserve">Lancer un BIA sur les processus les plus critiques : identifier les activités vitales, leur durée maximale d'interruption admissible et leurs dépendances.</t>
  </si>
  <si>
    <t xml:space="preserve">Formaliser un premier PCA sur les activités critiques, avec des stratégies de continuité arbitrées et validées par la direction.</t>
  </si>
  <si>
    <t xml:space="preserve">9. Continuité d'activité (PCA/PRA)|En progression</t>
  </si>
  <si>
    <t xml:space="preserve">Des plans partiels existent (souvent limités au SI) mais sans cohérence métier : le redémarrage technique ne garantit pas la reprise de l'activité.</t>
  </si>
  <si>
    <t xml:space="preserve">Faire valider les RTO/RPO par les métiers, et non par la seule DSI. Étendre le périmètre au-delà du SI (locaux, personnes clés, fournisseurs).</t>
  </si>
  <si>
    <t xml:space="preserve">Construire un programme de tests annuel couvrant les plans critiques, avec RETEX et actions correctives suivies.</t>
  </si>
  <si>
    <t xml:space="preserve">9. Continuité d'activité (PCA/PRA)|Établi</t>
  </si>
  <si>
    <t xml:space="preserve">Le dispositif de continuité est en place et documenté. Le levier majeur est la preuve par le test.</t>
  </si>
  <si>
    <t xml:space="preserve">Vérifier que les RTO annoncés sont réellement atteints en conditions de test, et non seulement déclarés.</t>
  </si>
  <si>
    <t xml:space="preserve">Étendre la couverture à des scénarios multiples (cyber, indisponibilité de site, défaillance fournisseur stratégique, énergie) et maintenir les plans en condition opérationnelle.</t>
  </si>
  <si>
    <t xml:space="preserve">9. Continuité d'activité (PCA/PRA)|Avancé</t>
  </si>
  <si>
    <t xml:space="preserve">Dispositif mature et multi-scénarios. L'enjeu est la vitalité de la documentation et la profondeur des tests.</t>
  </si>
  <si>
    <t xml:space="preserve">Passer à des tests de bout en bout impliquant les métiers, et non uniquement des bascules techniques.</t>
  </si>
  <si>
    <t xml:space="preserve">Relier les plans à la cartographie des dépendances pour que toute évolution structurante déclenche leur mise à jour.</t>
  </si>
  <si>
    <t xml:space="preserve">9. Continuité d'activité (PCA/PRA)|Aspirationnel</t>
  </si>
  <si>
    <t xml:space="preserve">Introduire des tests inopinés pour vérifier la robustesse réelle hors conditions préparées.</t>
  </si>
  <si>
    <t xml:space="preserve">Maintenir un dispositif dégradé fonctionnant sans les outils avancés, en cas d'indisponibilité de ces derniers.</t>
  </si>
  <si>
    <t xml:space="preserve">10. Gestion de crise (PGC)|Émergent</t>
  </si>
  <si>
    <t xml:space="preserve">En l'absence de dispositif, la réponse à une crise dépendrait de l'improvisation : les premières heures, décisives, seraient perdues.</t>
  </si>
  <si>
    <t xml:space="preserve">Constituer une cellule de crise nommée, avec suppléants, et définir les critères et niveaux d'activation. Établir une chaîne d'alerte testée.</t>
  </si>
  <si>
    <t xml:space="preserve">Conduire un premier exercice sur table sur un scénario réaliste, avec RETEX et plan d'action.</t>
  </si>
  <si>
    <t xml:space="preserve">10. Gestion de crise (PGC)|En progression</t>
  </si>
  <si>
    <t xml:space="preserve">La cellule existe sur le papier mais n'a jamais été éprouvée : l'écart entre le document et la réalité ne se révélera qu'en crise.</t>
  </si>
  <si>
    <t xml:space="preserve">Organiser l'astreinte et tester la chaîne d'alerte de façon inopinée. Documenter les moyens de repli (salle, communication dégradée).</t>
  </si>
  <si>
    <t xml:space="preserve">Instaurer un exercice annuel impliquant la direction générale, avec observateurs et RETEX formalisé.</t>
  </si>
  <si>
    <t xml:space="preserve">10. Gestion de crise (PGC)|Établi</t>
  </si>
  <si>
    <t xml:space="preserve">Le dispositif est formalisé et exercé. Le levier est la montée en réalisme et l'implication du sommet.</t>
  </si>
  <si>
    <t xml:space="preserve">Impliquer systématiquement le COMEX dans les exercices et faire évaluer la conduite par des observateurs externes au dispositif.</t>
  </si>
  <si>
    <t xml:space="preserve">Graduer le dispositif par niveau de crise et intégrer la communication de crise (interne, clients, régulateur, médias) au programme d'exercices.</t>
  </si>
  <si>
    <t xml:space="preserve">10. Gestion de crise (PGC)|Avancé</t>
  </si>
  <si>
    <t xml:space="preserve">Dispositif mature et gradué. L'enjeu est de sortir des scénarios confortables.</t>
  </si>
  <si>
    <t xml:space="preserve">Calibrer les exercices sur les faiblesses réellement identifiées plutôt que sur les scénarios maîtrisés.</t>
  </si>
  <si>
    <t xml:space="preserve">Introduire des exercices inopinés et des scénarios combinés (crise cyber doublée d'une crise médiatique, par exemple).</t>
  </si>
  <si>
    <t xml:space="preserve">10. Gestion de crise (PGC)|Aspirationnel</t>
  </si>
  <si>
    <t xml:space="preserve">Vérifier que le dispositif reste opérable en mode dégradé, sans les outils de surveillance et de traçabilité.</t>
  </si>
  <si>
    <t xml:space="preserve">Entretenir la compétence de décision sous incertitude, qui reste humaine et se perd sans entraînement.</t>
  </si>
  <si>
    <t xml:space="preserve">11. Résilience organisationnelle|Émergent</t>
  </si>
  <si>
    <t xml:space="preserve">Les dépendances critiques étant inconnues, l'entreprise ignore par où elle peut tomber : la résilience relève du hasard.</t>
  </si>
  <si>
    <t xml:space="preserve">Cartographier les dépendances critiques de premier rang : fournisseurs, sites, systèmes, compétences rares.</t>
  </si>
  <si>
    <t xml:space="preserve">Identifier les points de défaillance unique (single points of failure) et arbitrer leur traitement.</t>
  </si>
  <si>
    <t xml:space="preserve">11. Résilience organisationnelle|En progression</t>
  </si>
  <si>
    <t xml:space="preserve">L'organisation a tenu jusqu'ici grâce à l'engagement des personnes plutôt qu'à son dispositif : cette résilience n'est pas reproductible.</t>
  </si>
  <si>
    <t xml:space="preserve">Consolider les connaissances éparses en un référentiel unique des dépendances, relié aux activités critiques.</t>
  </si>
  <si>
    <t xml:space="preserve">Introduire des exigences de résilience dans les cahiers des charges d'achat et les jalons projet.</t>
  </si>
  <si>
    <t xml:space="preserve">11. Résilience organisationnelle|Établi</t>
  </si>
  <si>
    <t xml:space="preserve">La résilience est structurée et démontrée. Le levier est l'anticipation des dépendances indirectes.</t>
  </si>
  <si>
    <t xml:space="preserve">Étendre la cartographie aux dépendances de rang 2 (fournisseurs de vos fournisseurs) et détecter les concentrations.</t>
  </si>
  <si>
    <t xml:space="preserve">Faire de la résilience un critère explicite et documenté des décisions d'architecture, de sourcing et d'implantation.</t>
  </si>
  <si>
    <t xml:space="preserve">11. Résilience organisationnelle|Avancé</t>
  </si>
  <si>
    <t xml:space="preserve">Résilience mature et mesurée. L'enjeu est la valorisation et la transformation.</t>
  </si>
  <si>
    <t xml:space="preserve">Suivre des indicateurs de résilience (temps de retour à la normale, pertes évitées) et les faire progresser d'un événement à l'autre.</t>
  </si>
  <si>
    <t xml:space="preserve">Détecter en continu les concentrations de risque créées par les évolutions du modèle opérationnel.</t>
  </si>
  <si>
    <t xml:space="preserve">11. Résilience organisationnelle|Aspirationnel</t>
  </si>
  <si>
    <t xml:space="preserve">Vérifier que la résilience conçue tient face à des perturbations non anticipées par les modèles.</t>
  </si>
  <si>
    <t xml:space="preserve">Préserver les marges de manœuvre (redondances, stocks, polyvalence) que l'optimisation économique tend à éroder.</t>
  </si>
</sst>
</file>

<file path=xl/styles.xml><?xml version="1.0" encoding="utf-8"?>
<styleSheet xmlns="http://schemas.openxmlformats.org/spreadsheetml/2006/main">
  <numFmts count="4">
    <numFmt numFmtId="164" formatCode="General"/>
    <numFmt numFmtId="165" formatCode="General"/>
    <numFmt numFmtId="166" formatCode="0.00"/>
    <numFmt numFmtId="167" formatCode="0.0"/>
  </numFmts>
  <fonts count="23">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9"/>
      <color rgb="FF808080"/>
      <name val="Arial"/>
      <family val="0"/>
      <charset val="1"/>
    </font>
    <font>
      <b val="true"/>
      <sz val="12"/>
      <color rgb="FFC55A11"/>
      <name val="Arial"/>
      <family val="0"/>
      <charset val="1"/>
    </font>
    <font>
      <b val="true"/>
      <sz val="10"/>
      <name val="Arial"/>
      <family val="0"/>
      <charset val="1"/>
    </font>
    <font>
      <sz val="10"/>
      <name val="Arial"/>
      <family val="0"/>
      <charset val="1"/>
    </font>
    <font>
      <b val="true"/>
      <sz val="10"/>
      <color rgb="FFFFFFFF"/>
      <name val="Arial"/>
      <family val="0"/>
      <charset val="1"/>
    </font>
    <font>
      <sz val="10"/>
      <color rgb="FF0000FF"/>
      <name val="Arial"/>
      <family val="0"/>
      <charset val="1"/>
    </font>
    <font>
      <b val="true"/>
      <sz val="13"/>
      <color rgb="FF1F3864"/>
      <name val="Arial"/>
      <family val="0"/>
      <charset val="1"/>
    </font>
    <font>
      <b val="true"/>
      <sz val="10"/>
      <color rgb="FF1F3864"/>
      <name val="Arial"/>
      <family val="0"/>
      <charset val="1"/>
    </font>
    <font>
      <sz val="9"/>
      <name val="Arial"/>
      <family val="0"/>
      <charset val="1"/>
    </font>
    <font>
      <b val="true"/>
      <sz val="9"/>
      <name val="Arial"/>
      <family val="0"/>
      <charset val="1"/>
    </font>
    <font>
      <b val="true"/>
      <sz val="11"/>
      <color rgb="FF0000FF"/>
      <name val="Arial"/>
      <family val="0"/>
      <charset val="1"/>
    </font>
    <font>
      <b val="true"/>
      <sz val="10"/>
      <color rgb="FFC55A11"/>
      <name val="Arial"/>
      <family val="0"/>
      <charset val="1"/>
    </font>
    <font>
      <b val="true"/>
      <sz val="11"/>
      <color rgb="FFFFFFFF"/>
      <name val="Arial"/>
      <family val="0"/>
      <charset val="1"/>
    </font>
    <font>
      <b val="true"/>
      <sz val="12"/>
      <color rgb="FF1F3864"/>
      <name val="Arial"/>
      <family val="0"/>
      <charset val="1"/>
    </font>
    <font>
      <b val="true"/>
      <sz val="18"/>
      <color rgb="FF000000"/>
      <name val="Calibri"/>
      <family val="2"/>
    </font>
    <font>
      <sz val="10"/>
      <color rgb="FF000000"/>
      <name val="Calibri"/>
      <family val="2"/>
    </font>
    <font>
      <b val="true"/>
      <sz val="9"/>
      <color rgb="FFC55A11"/>
      <name val="Arial"/>
      <family val="0"/>
      <charset val="1"/>
    </font>
    <font>
      <b val="true"/>
      <sz val="11"/>
      <color rgb="FF1F3864"/>
      <name val="Arial"/>
      <family val="0"/>
      <charset val="1"/>
    </font>
  </fonts>
  <fills count="6">
    <fill>
      <patternFill patternType="none"/>
    </fill>
    <fill>
      <patternFill patternType="gray125"/>
    </fill>
    <fill>
      <patternFill patternType="solid">
        <fgColor rgb="FFFFF2CC"/>
        <bgColor rgb="FFF2F2F2"/>
      </patternFill>
    </fill>
    <fill>
      <patternFill patternType="solid">
        <fgColor rgb="FF1F3864"/>
        <bgColor rgb="FF333333"/>
      </patternFill>
    </fill>
    <fill>
      <patternFill patternType="solid">
        <fgColor rgb="FFF2F2F2"/>
        <bgColor rgb="FFDDEBF7"/>
      </patternFill>
    </fill>
    <fill>
      <patternFill patternType="solid">
        <fgColor rgb="FFDDEBF7"/>
        <bgColor rgb="FFD9E1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left"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center" vertical="top" textRotation="0" wrapText="true" indent="0" shrinkToFit="false"/>
      <protection locked="true" hidden="false"/>
    </xf>
    <xf numFmtId="164" fontId="14" fillId="0" borderId="1" xfId="0" applyFont="true" applyBorder="true" applyAlignment="true" applyProtection="false">
      <alignment horizontal="left" vertical="top" textRotation="0" wrapText="true" indent="0" shrinkToFit="false"/>
      <protection locked="true" hidden="false"/>
    </xf>
    <xf numFmtId="164" fontId="13" fillId="0" borderId="1" xfId="0" applyFont="true" applyBorder="true" applyAlignment="true" applyProtection="false">
      <alignment horizontal="left" vertical="top" textRotation="0" wrapText="true" indent="0" shrinkToFit="false"/>
      <protection locked="true" hidden="false"/>
    </xf>
    <xf numFmtId="164" fontId="15" fillId="2" borderId="1" xfId="0" applyFont="true" applyBorder="true" applyAlignment="true" applyProtection="false">
      <alignment horizontal="center" vertical="top" textRotation="0" wrapText="true" indent="0" shrinkToFit="false"/>
      <protection locked="true" hidden="false"/>
    </xf>
    <xf numFmtId="164" fontId="13" fillId="2" borderId="1" xfId="0" applyFont="true" applyBorder="true" applyAlignment="true" applyProtection="false">
      <alignment horizontal="left" vertical="top"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4" fontId="13" fillId="4" borderId="1" xfId="0" applyFont="true" applyBorder="true" applyAlignment="true" applyProtection="false">
      <alignment horizontal="center" vertical="top" textRotation="0" wrapText="true" indent="0" shrinkToFit="false"/>
      <protection locked="true" hidden="false"/>
    </xf>
    <xf numFmtId="164" fontId="14" fillId="4" borderId="1" xfId="0" applyFont="true" applyBorder="true" applyAlignment="true" applyProtection="false">
      <alignment horizontal="left" vertical="top" textRotation="0" wrapText="true" indent="0" shrinkToFit="false"/>
      <protection locked="true" hidden="false"/>
    </xf>
    <xf numFmtId="164" fontId="13" fillId="4" borderId="1" xfId="0" applyFont="true" applyBorder="true" applyAlignment="true" applyProtection="false">
      <alignment horizontal="left" vertical="top" textRotation="0" wrapText="true" indent="0" shrinkToFit="false"/>
      <protection locked="true" hidden="false"/>
    </xf>
    <xf numFmtId="164" fontId="16" fillId="0" borderId="0" xfId="0" applyFont="true" applyBorder="fals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6" fontId="8" fillId="0" borderId="1" xfId="0" applyFont="true" applyBorder="true" applyAlignment="true" applyProtection="false">
      <alignment horizontal="center" vertical="center" textRotation="0" wrapText="fals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7" fontId="8" fillId="0" borderId="1" xfId="0" applyFont="true" applyBorder="true" applyAlignment="true" applyProtection="false">
      <alignment horizontal="center" vertical="center"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17" fillId="3" borderId="1" xfId="0" applyFont="true" applyBorder="true" applyAlignment="false" applyProtection="false">
      <alignment horizontal="general" vertical="bottom" textRotation="0" wrapText="false" indent="0" shrinkToFit="false"/>
      <protection locked="true" hidden="false"/>
    </xf>
    <xf numFmtId="166" fontId="18" fillId="5" borderId="1" xfId="0" applyFont="tru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true" applyProtection="false">
      <alignment horizontal="left" vertical="bottom" textRotation="0" wrapText="false" indent="0" shrinkToFit="false"/>
      <protection locked="true" hidden="false"/>
    </xf>
    <xf numFmtId="166" fontId="13" fillId="0" borderId="1" xfId="0" applyFont="true" applyBorder="true" applyAlignment="true" applyProtection="false">
      <alignment horizontal="center" vertical="top" textRotation="0" wrapText="true" indent="0" shrinkToFit="false"/>
      <protection locked="true" hidden="false"/>
    </xf>
    <xf numFmtId="164" fontId="21" fillId="0" borderId="1" xfId="0" applyFont="true" applyBorder="true" applyAlignment="true" applyProtection="false">
      <alignment horizontal="center" vertical="top" textRotation="0" wrapText="true" indent="0" shrinkToFit="false"/>
      <protection locked="true" hidden="false"/>
    </xf>
    <xf numFmtId="164" fontId="22" fillId="0" borderId="0"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bgColor rgb="FFF8CBAD"/>
        </patternFill>
      </fill>
    </dxf>
    <dxf>
      <fill>
        <patternFill>
          <bgColor rgb="FFFFE699"/>
        </patternFill>
      </fill>
    </dxf>
    <dxf>
      <fill>
        <patternFill>
          <bgColor rgb="FFD9E1F2"/>
        </patternFill>
      </fill>
    </dxf>
    <dxf>
      <fill>
        <patternFill>
          <bgColor rgb="FFC6E0B4"/>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C6E0B4"/>
      <rgbColor rgb="FFFFE699"/>
      <rgbColor rgb="FFD9E1F2"/>
      <rgbColor rgb="FFFF99CC"/>
      <rgbColor rgb="FFCC99FF"/>
      <rgbColor rgb="FFF8CBAD"/>
      <rgbColor rgb="FF3366FF"/>
      <rgbColor rgb="FF33CCCC"/>
      <rgbColor rgb="FF99CC00"/>
      <rgbColor rgb="FFFFCC00"/>
      <rgbColor rgb="FFFF9900"/>
      <rgbColor rgb="FFC55A11"/>
      <rgbColor rgb="FF4A7EBB"/>
      <rgbColor rgb="FF878787"/>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Profil de maturité par dimension</a:t>
            </a:r>
          </a:p>
        </c:rich>
      </c:tx>
      <c:overlay val="0"/>
      <c:spPr>
        <a:noFill/>
        <a:ln w="0">
          <a:noFill/>
        </a:ln>
      </c:spPr>
    </c:title>
    <c:autoTitleDeleted val="0"/>
    <c:plotArea>
      <c:radarChart>
        <c:radarStyle val="marker"/>
        <c:varyColors val="0"/>
        <c:ser>
          <c:idx val="0"/>
          <c:order val="0"/>
          <c:tx>
            <c:strRef>
              <c:f>'2. Résultats'!C5</c:f>
              <c:strCache>
                <c:ptCount val="1"/>
                <c:pt idx="0">
                  <c:v>Score /5</c:v>
                </c:pt>
              </c:strCache>
            </c:strRef>
          </c:tx>
          <c:spPr>
            <a:solidFill>
              <a:srgbClr val="4a7ebb"/>
            </a:solidFill>
            <a:ln w="6660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 Résultats'!$B$6:$B$16</c:f>
              <c:strCache>
                <c:ptCount val="11"/>
                <c:pt idx="0">
                  <c:v>1. Stratégie</c:v>
                </c:pt>
                <c:pt idx="1">
                  <c:v>2. Gouvernance</c:v>
                </c:pt>
                <c:pt idx="2">
                  <c:v>3. Culture</c:v>
                </c:pt>
                <c:pt idx="3">
                  <c:v>4. Identification des risques</c:v>
                </c:pt>
                <c:pt idx="4">
                  <c:v>5. Analyse et évaluation des risques</c:v>
                </c:pt>
                <c:pt idx="5">
                  <c:v>6. Traitement des risques</c:v>
                </c:pt>
                <c:pt idx="6">
                  <c:v>7. Revue et révision</c:v>
                </c:pt>
                <c:pt idx="7">
                  <c:v>8. Information et reporting</c:v>
                </c:pt>
                <c:pt idx="8">
                  <c:v>9. Continuité d'activité (PCA/PRA)</c:v>
                </c:pt>
                <c:pt idx="9">
                  <c:v>10. Gestion de crise (PGC)</c:v>
                </c:pt>
                <c:pt idx="10">
                  <c:v>11. Résilience organisationnelle</c:v>
                </c:pt>
              </c:strCache>
            </c:strRef>
          </c:cat>
          <c:val>
            <c:numRef>
              <c:f>'2. Résultats'!$C$6:$C$16</c:f>
              <c:numCache>
                <c:formatCode>General</c:formatCode>
                <c:ptCount val="11"/>
              </c:numCache>
            </c:numRef>
          </c:val>
        </c:ser>
        <c:axId val="67395159"/>
        <c:axId val="61122017"/>
      </c:radarChart>
      <c:catAx>
        <c:axId val="67395159"/>
        <c:scaling>
          <c:orientation val="maxMin"/>
        </c:scaling>
        <c:delete val="0"/>
        <c:axPos val="b"/>
        <c:numFmt formatCode="General" sourceLinked="1"/>
        <c:majorTickMark val="none"/>
        <c:minorTickMark val="none"/>
        <c:tickLblPos val="nextTo"/>
        <c:spPr>
          <a:ln w="9360">
            <a:noFill/>
          </a:ln>
        </c:spPr>
        <c:txPr>
          <a:bodyPr/>
          <a:lstStyle/>
          <a:p>
            <a:pPr>
              <a:defRPr b="0" sz="1000" spc="-1" strike="noStrike">
                <a:solidFill>
                  <a:srgbClr val="000000"/>
                </a:solidFill>
                <a:latin typeface="Calibri"/>
              </a:defRPr>
            </a:pPr>
          </a:p>
        </c:txPr>
        <c:crossAx val="61122017"/>
        <c:crosses val="autoZero"/>
        <c:auto val="1"/>
        <c:lblAlgn val="ctr"/>
        <c:lblOffset val="100"/>
        <c:noMultiLvlLbl val="0"/>
      </c:catAx>
      <c:valAx>
        <c:axId val="61122017"/>
        <c:scaling>
          <c:orientation val="minMax"/>
          <c:max val="5"/>
          <c:min val="0"/>
        </c:scaling>
        <c:delete val="0"/>
        <c:axPos val="l"/>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7395159"/>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3</xdr:row>
      <xdr:rowOff>131040</xdr:rowOff>
    </xdr:from>
    <xdr:to>
      <xdr:col>19</xdr:col>
      <xdr:colOff>255960</xdr:colOff>
      <xdr:row>28</xdr:row>
      <xdr:rowOff>48240</xdr:rowOff>
    </xdr:to>
    <xdr:graphicFrame>
      <xdr:nvGraphicFramePr>
        <xdr:cNvPr id="0" name="Chart 1"/>
        <xdr:cNvGraphicFramePr/>
      </xdr:nvGraphicFramePr>
      <xdr:xfrm>
        <a:off x="7448400" y="762120"/>
        <a:ext cx="5759640" cy="46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G4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3" min="3" style="0" width="30"/>
    <col collapsed="false" customWidth="true" hidden="false" outlineLevel="0" max="4" min="4" style="0" width="22"/>
    <col collapsed="false" customWidth="true" hidden="false" outlineLevel="0" max="7" min="5" style="0" width="16"/>
  </cols>
  <sheetData>
    <row r="2" customFormat="false" ht="19.7"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15" hidden="false" customHeight="false" outlineLevel="0" collapsed="false">
      <c r="B6" s="4" t="s">
        <v>3</v>
      </c>
      <c r="C6" s="5"/>
    </row>
    <row r="7" customFormat="false" ht="15" hidden="false" customHeight="false" outlineLevel="0" collapsed="false">
      <c r="B7" s="4" t="s">
        <v>4</v>
      </c>
      <c r="C7" s="5"/>
    </row>
    <row r="8" customFormat="false" ht="15" hidden="false" customHeight="false" outlineLevel="0" collapsed="false">
      <c r="B8" s="4" t="s">
        <v>5</v>
      </c>
      <c r="C8" s="5"/>
    </row>
    <row r="9" customFormat="false" ht="15" hidden="false" customHeight="false" outlineLevel="0" collapsed="false">
      <c r="B9" s="4" t="s">
        <v>6</v>
      </c>
      <c r="C9" s="5"/>
    </row>
    <row r="10" customFormat="false" ht="15" hidden="false" customHeight="false" outlineLevel="0" collapsed="false">
      <c r="B10" s="4" t="s">
        <v>7</v>
      </c>
      <c r="C10" s="5"/>
    </row>
    <row r="11" customFormat="false" ht="15" hidden="false" customHeight="false" outlineLevel="0" collapsed="false">
      <c r="B11" s="4" t="s">
        <v>8</v>
      </c>
      <c r="C11" s="5"/>
    </row>
    <row r="12" customFormat="false" ht="15" hidden="false" customHeight="false" outlineLevel="0" collapsed="false">
      <c r="B12" s="4" t="s">
        <v>9</v>
      </c>
      <c r="C12" s="5"/>
    </row>
    <row r="15" customFormat="false" ht="15" hidden="false" customHeight="false" outlineLevel="0" collapsed="false">
      <c r="B15" s="3" t="s">
        <v>10</v>
      </c>
    </row>
    <row r="16" customFormat="false" ht="27.75" hidden="false" customHeight="true" outlineLevel="0" collapsed="false">
      <c r="B16" s="6" t="s">
        <v>11</v>
      </c>
      <c r="C16" s="6"/>
      <c r="D16" s="6"/>
      <c r="E16" s="6"/>
      <c r="F16" s="6"/>
      <c r="G16" s="6"/>
    </row>
    <row r="17" customFormat="false" ht="27.75" hidden="false" customHeight="true" outlineLevel="0" collapsed="false">
      <c r="B17" s="6" t="s">
        <v>12</v>
      </c>
      <c r="C17" s="6"/>
      <c r="D17" s="6"/>
      <c r="E17" s="6"/>
      <c r="F17" s="6"/>
      <c r="G17" s="6"/>
    </row>
    <row r="18" customFormat="false" ht="27.75" hidden="false" customHeight="true" outlineLevel="0" collapsed="false">
      <c r="B18" s="6" t="s">
        <v>13</v>
      </c>
      <c r="C18" s="6"/>
      <c r="D18" s="6"/>
      <c r="E18" s="6"/>
      <c r="F18" s="6"/>
      <c r="G18" s="6"/>
    </row>
    <row r="19" customFormat="false" ht="27.75" hidden="false" customHeight="true" outlineLevel="0" collapsed="false">
      <c r="B19" s="6" t="s">
        <v>14</v>
      </c>
      <c r="C19" s="6"/>
      <c r="D19" s="6"/>
      <c r="E19" s="6"/>
      <c r="F19" s="6"/>
      <c r="G19" s="6"/>
    </row>
    <row r="20" customFormat="false" ht="27.75" hidden="false" customHeight="true" outlineLevel="0" collapsed="false">
      <c r="B20" s="6" t="s">
        <v>15</v>
      </c>
      <c r="C20" s="6"/>
      <c r="D20" s="6"/>
      <c r="E20" s="6"/>
      <c r="F20" s="6"/>
      <c r="G20" s="6"/>
    </row>
    <row r="21" customFormat="false" ht="27.75" hidden="false" customHeight="true" outlineLevel="0" collapsed="false">
      <c r="B21" s="6" t="s">
        <v>16</v>
      </c>
      <c r="C21" s="6"/>
      <c r="D21" s="6"/>
      <c r="E21" s="6"/>
      <c r="F21" s="6"/>
      <c r="G21" s="6"/>
    </row>
    <row r="23" customFormat="false" ht="15" hidden="false" customHeight="false" outlineLevel="0" collapsed="false">
      <c r="B23" s="4" t="s">
        <v>17</v>
      </c>
      <c r="C23" s="7"/>
    </row>
    <row r="25" customFormat="false" ht="15" hidden="false" customHeight="false" outlineLevel="0" collapsed="false">
      <c r="B25" s="3" t="s">
        <v>18</v>
      </c>
    </row>
    <row r="26" customFormat="false" ht="15" hidden="false" customHeight="false" outlineLevel="0" collapsed="false">
      <c r="A26" s="8"/>
      <c r="B26" s="8" t="s">
        <v>19</v>
      </c>
      <c r="C26" s="8" t="s">
        <v>20</v>
      </c>
      <c r="D26" s="8" t="s">
        <v>21</v>
      </c>
    </row>
    <row r="27" customFormat="false" ht="15" hidden="false" customHeight="false" outlineLevel="0" collapsed="false">
      <c r="B27" s="9" t="s">
        <v>22</v>
      </c>
      <c r="C27" s="9" t="n">
        <v>1</v>
      </c>
      <c r="D27" s="10" t="s">
        <v>23</v>
      </c>
    </row>
    <row r="28" customFormat="false" ht="15" hidden="false" customHeight="false" outlineLevel="0" collapsed="false">
      <c r="B28" s="9" t="s">
        <v>24</v>
      </c>
      <c r="C28" s="9" t="n">
        <v>2</v>
      </c>
      <c r="D28" s="10" t="s">
        <v>25</v>
      </c>
    </row>
    <row r="29" customFormat="false" ht="15" hidden="false" customHeight="false" outlineLevel="0" collapsed="false">
      <c r="B29" s="9" t="s">
        <v>26</v>
      </c>
      <c r="C29" s="9" t="n">
        <v>3</v>
      </c>
      <c r="D29" s="10" t="s">
        <v>27</v>
      </c>
    </row>
    <row r="30" customFormat="false" ht="15" hidden="false" customHeight="false" outlineLevel="0" collapsed="false">
      <c r="B30" s="9" t="s">
        <v>28</v>
      </c>
      <c r="C30" s="9" t="n">
        <v>4</v>
      </c>
      <c r="D30" s="10" t="s">
        <v>29</v>
      </c>
    </row>
    <row r="31" customFormat="false" ht="15" hidden="false" customHeight="false" outlineLevel="0" collapsed="false">
      <c r="B31" s="9" t="s">
        <v>30</v>
      </c>
      <c r="C31" s="9" t="n">
        <v>5</v>
      </c>
      <c r="D31" s="10" t="s">
        <v>31</v>
      </c>
    </row>
    <row r="34" customFormat="false" ht="15" hidden="false" customHeight="false" outlineLevel="0" collapsed="false">
      <c r="B34" s="3" t="s">
        <v>32</v>
      </c>
    </row>
    <row r="35" customFormat="false" ht="15" hidden="false" customHeight="false" outlineLevel="0" collapsed="false">
      <c r="B35" s="11" t="s">
        <v>33</v>
      </c>
      <c r="C35" s="11"/>
      <c r="D35" s="11"/>
      <c r="E35" s="11"/>
      <c r="F35" s="11"/>
      <c r="G35" s="11"/>
    </row>
    <row r="36" customFormat="false" ht="15" hidden="false" customHeight="false" outlineLevel="0" collapsed="false">
      <c r="A36" s="8"/>
      <c r="B36" s="8" t="s">
        <v>34</v>
      </c>
      <c r="C36" s="8" t="s">
        <v>35</v>
      </c>
    </row>
    <row r="37" customFormat="false" ht="15" hidden="false" customHeight="false" outlineLevel="0" collapsed="false">
      <c r="B37" s="12" t="s">
        <v>36</v>
      </c>
      <c r="C37" s="13" t="n">
        <v>8</v>
      </c>
    </row>
    <row r="38" customFormat="false" ht="15" hidden="false" customHeight="false" outlineLevel="0" collapsed="false">
      <c r="B38" s="12" t="s">
        <v>37</v>
      </c>
      <c r="C38" s="13" t="n">
        <v>12</v>
      </c>
    </row>
    <row r="39" customFormat="false" ht="15" hidden="false" customHeight="false" outlineLevel="0" collapsed="false">
      <c r="B39" s="12" t="s">
        <v>38</v>
      </c>
      <c r="C39" s="13" t="n">
        <v>8</v>
      </c>
    </row>
    <row r="40" customFormat="false" ht="15" hidden="false" customHeight="false" outlineLevel="0" collapsed="false">
      <c r="B40" s="12" t="s">
        <v>39</v>
      </c>
      <c r="C40" s="13" t="n">
        <v>10</v>
      </c>
    </row>
    <row r="41" customFormat="false" ht="15" hidden="false" customHeight="false" outlineLevel="0" collapsed="false">
      <c r="B41" s="12" t="s">
        <v>40</v>
      </c>
      <c r="C41" s="13" t="n">
        <v>10</v>
      </c>
    </row>
    <row r="42" customFormat="false" ht="15" hidden="false" customHeight="false" outlineLevel="0" collapsed="false">
      <c r="B42" s="12" t="s">
        <v>41</v>
      </c>
      <c r="C42" s="13" t="n">
        <v>10</v>
      </c>
    </row>
    <row r="43" customFormat="false" ht="15" hidden="false" customHeight="false" outlineLevel="0" collapsed="false">
      <c r="B43" s="12" t="s">
        <v>42</v>
      </c>
      <c r="C43" s="13" t="n">
        <v>7</v>
      </c>
    </row>
    <row r="44" customFormat="false" ht="15" hidden="false" customHeight="false" outlineLevel="0" collapsed="false">
      <c r="B44" s="12" t="s">
        <v>43</v>
      </c>
      <c r="C44" s="13" t="n">
        <v>7</v>
      </c>
    </row>
    <row r="45" customFormat="false" ht="15" hidden="false" customHeight="false" outlineLevel="0" collapsed="false">
      <c r="B45" s="12" t="s">
        <v>44</v>
      </c>
      <c r="C45" s="13" t="n">
        <v>12</v>
      </c>
    </row>
    <row r="46" customFormat="false" ht="15" hidden="false" customHeight="false" outlineLevel="0" collapsed="false">
      <c r="B46" s="12" t="s">
        <v>45</v>
      </c>
      <c r="C46" s="13" t="n">
        <v>10</v>
      </c>
    </row>
    <row r="47" customFormat="false" ht="15" hidden="false" customHeight="false" outlineLevel="0" collapsed="false">
      <c r="B47" s="12" t="s">
        <v>46</v>
      </c>
      <c r="C47" s="13" t="n">
        <v>6</v>
      </c>
    </row>
    <row r="48" customFormat="false" ht="15" hidden="false" customHeight="false" outlineLevel="0" collapsed="false">
      <c r="B48" s="14" t="s">
        <v>47</v>
      </c>
      <c r="C48" s="15" t="n">
        <f aca="false">SUM(C37:C47)</f>
        <v>100</v>
      </c>
    </row>
  </sheetData>
  <mergeCells count="7">
    <mergeCell ref="B16:G16"/>
    <mergeCell ref="B17:G17"/>
    <mergeCell ref="B18:G18"/>
    <mergeCell ref="B19:G19"/>
    <mergeCell ref="B20:G20"/>
    <mergeCell ref="B21:G21"/>
    <mergeCell ref="B35:G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6"/>
    <col collapsed="false" customWidth="true" hidden="false" outlineLevel="0" max="3" min="3" style="0" width="40"/>
    <col collapsed="false" customWidth="true" hidden="false" outlineLevel="0" max="8" min="4" style="0" width="34"/>
    <col collapsed="false" customWidth="true" hidden="false" outlineLevel="0" max="9" min="9" style="0" width="10"/>
    <col collapsed="false" customWidth="true" hidden="false" outlineLevel="0" max="10" min="10" style="0" width="8"/>
    <col collapsed="false" customWidth="true" hidden="false" outlineLevel="0" max="11" min="11" style="0" width="30"/>
  </cols>
  <sheetData>
    <row r="1" customFormat="false" ht="16.15" hidden="false" customHeight="false" outlineLevel="0" collapsed="false">
      <c r="A1" s="16" t="s">
        <v>48</v>
      </c>
      <c r="B1" s="16"/>
      <c r="C1" s="16"/>
      <c r="D1" s="16"/>
      <c r="E1" s="16"/>
      <c r="F1" s="16"/>
      <c r="G1" s="16"/>
      <c r="H1" s="16"/>
      <c r="I1" s="16"/>
      <c r="J1" s="16"/>
      <c r="K1" s="16"/>
    </row>
    <row r="3" customFormat="false" ht="30" hidden="false" customHeight="true" outlineLevel="0" collapsed="false">
      <c r="A3" s="8" t="s">
        <v>34</v>
      </c>
      <c r="B3" s="8" t="s">
        <v>49</v>
      </c>
      <c r="C3" s="8" t="s">
        <v>50</v>
      </c>
      <c r="D3" s="8" t="s">
        <v>51</v>
      </c>
      <c r="E3" s="8" t="s">
        <v>52</v>
      </c>
      <c r="F3" s="8" t="s">
        <v>53</v>
      </c>
      <c r="G3" s="8" t="s">
        <v>54</v>
      </c>
      <c r="H3" s="8" t="s">
        <v>55</v>
      </c>
      <c r="I3" s="8" t="s">
        <v>56</v>
      </c>
      <c r="J3" s="8" t="s">
        <v>20</v>
      </c>
      <c r="K3" s="8" t="s">
        <v>57</v>
      </c>
    </row>
    <row r="4" customFormat="false" ht="61.5" hidden="false" customHeight="true" outlineLevel="0" collapsed="false">
      <c r="A4" s="17" t="s">
        <v>36</v>
      </c>
      <c r="B4" s="18" t="s">
        <v>58</v>
      </c>
      <c r="C4" s="19" t="s">
        <v>59</v>
      </c>
      <c r="D4" s="20" t="s">
        <v>60</v>
      </c>
      <c r="E4" s="20" t="s">
        <v>61</v>
      </c>
      <c r="F4" s="20" t="s">
        <v>62</v>
      </c>
      <c r="G4" s="20" t="s">
        <v>63</v>
      </c>
      <c r="H4" s="20" t="s">
        <v>64</v>
      </c>
      <c r="I4" s="21"/>
      <c r="J4" s="18" t="str">
        <f aca="false">IF(I4="","",MATCH(I4,{"A";"B";"C";"D";"E"},0))</f>
        <v/>
      </c>
      <c r="K4" s="22"/>
    </row>
    <row r="5" customFormat="false" ht="61.5" hidden="false" customHeight="true" outlineLevel="0" collapsed="false">
      <c r="A5" s="17"/>
      <c r="B5" s="18" t="s">
        <v>65</v>
      </c>
      <c r="C5" s="19" t="s">
        <v>66</v>
      </c>
      <c r="D5" s="20" t="s">
        <v>67</v>
      </c>
      <c r="E5" s="20" t="s">
        <v>68</v>
      </c>
      <c r="F5" s="20" t="s">
        <v>69</v>
      </c>
      <c r="G5" s="20" t="s">
        <v>70</v>
      </c>
      <c r="H5" s="20" t="s">
        <v>71</v>
      </c>
      <c r="I5" s="21"/>
      <c r="J5" s="18" t="str">
        <f aca="false">IF(I5="","",MATCH(I5,{"A";"B";"C";"D";"E"},0))</f>
        <v/>
      </c>
      <c r="K5" s="22"/>
    </row>
    <row r="6" customFormat="false" ht="61.5" hidden="false" customHeight="true" outlineLevel="0" collapsed="false">
      <c r="A6" s="17"/>
      <c r="B6" s="18" t="s">
        <v>72</v>
      </c>
      <c r="C6" s="19" t="s">
        <v>73</v>
      </c>
      <c r="D6" s="20" t="s">
        <v>74</v>
      </c>
      <c r="E6" s="20" t="s">
        <v>75</v>
      </c>
      <c r="F6" s="20" t="s">
        <v>76</v>
      </c>
      <c r="G6" s="20" t="s">
        <v>77</v>
      </c>
      <c r="H6" s="20" t="s">
        <v>78</v>
      </c>
      <c r="I6" s="21"/>
      <c r="J6" s="18" t="str">
        <f aca="false">IF(I6="","",MATCH(I6,{"A";"B";"C";"D";"E"},0))</f>
        <v/>
      </c>
      <c r="K6" s="22"/>
    </row>
    <row r="7" customFormat="false" ht="61.5" hidden="false" customHeight="true" outlineLevel="0" collapsed="false">
      <c r="A7" s="23" t="s">
        <v>37</v>
      </c>
      <c r="B7" s="24" t="s">
        <v>79</v>
      </c>
      <c r="C7" s="25" t="s">
        <v>80</v>
      </c>
      <c r="D7" s="26" t="s">
        <v>81</v>
      </c>
      <c r="E7" s="26" t="s">
        <v>82</v>
      </c>
      <c r="F7" s="26" t="s">
        <v>83</v>
      </c>
      <c r="G7" s="26" t="s">
        <v>84</v>
      </c>
      <c r="H7" s="26" t="s">
        <v>85</v>
      </c>
      <c r="I7" s="21"/>
      <c r="J7" s="24" t="str">
        <f aca="false">IF(I7="","",MATCH(I7,{"A";"B";"C";"D";"E"},0))</f>
        <v/>
      </c>
      <c r="K7" s="22"/>
    </row>
    <row r="8" customFormat="false" ht="61.5" hidden="false" customHeight="true" outlineLevel="0" collapsed="false">
      <c r="A8" s="23"/>
      <c r="B8" s="24" t="s">
        <v>86</v>
      </c>
      <c r="C8" s="25" t="s">
        <v>87</v>
      </c>
      <c r="D8" s="26" t="s">
        <v>88</v>
      </c>
      <c r="E8" s="26" t="s">
        <v>89</v>
      </c>
      <c r="F8" s="26" t="s">
        <v>90</v>
      </c>
      <c r="G8" s="26" t="s">
        <v>91</v>
      </c>
      <c r="H8" s="26" t="s">
        <v>92</v>
      </c>
      <c r="I8" s="21"/>
      <c r="J8" s="24" t="str">
        <f aca="false">IF(I8="","",MATCH(I8,{"A";"B";"C";"D";"E"},0))</f>
        <v/>
      </c>
      <c r="K8" s="22"/>
    </row>
    <row r="9" customFormat="false" ht="61.5" hidden="false" customHeight="true" outlineLevel="0" collapsed="false">
      <c r="A9" s="23"/>
      <c r="B9" s="24" t="s">
        <v>93</v>
      </c>
      <c r="C9" s="25" t="s">
        <v>94</v>
      </c>
      <c r="D9" s="26" t="s">
        <v>95</v>
      </c>
      <c r="E9" s="26" t="s">
        <v>96</v>
      </c>
      <c r="F9" s="26" t="s">
        <v>97</v>
      </c>
      <c r="G9" s="26" t="s">
        <v>98</v>
      </c>
      <c r="H9" s="26" t="s">
        <v>99</v>
      </c>
      <c r="I9" s="21"/>
      <c r="J9" s="24" t="str">
        <f aca="false">IF(I9="","",MATCH(I9,{"A";"B";"C";"D";"E"},0))</f>
        <v/>
      </c>
      <c r="K9" s="22"/>
    </row>
    <row r="10" customFormat="false" ht="61.5" hidden="false" customHeight="true" outlineLevel="0" collapsed="false">
      <c r="A10" s="17" t="s">
        <v>38</v>
      </c>
      <c r="B10" s="18" t="s">
        <v>100</v>
      </c>
      <c r="C10" s="19" t="s">
        <v>101</v>
      </c>
      <c r="D10" s="20" t="s">
        <v>102</v>
      </c>
      <c r="E10" s="20" t="s">
        <v>103</v>
      </c>
      <c r="F10" s="20" t="s">
        <v>104</v>
      </c>
      <c r="G10" s="20" t="s">
        <v>105</v>
      </c>
      <c r="H10" s="20" t="s">
        <v>106</v>
      </c>
      <c r="I10" s="21"/>
      <c r="J10" s="18" t="str">
        <f aca="false">IF(I10="","",MATCH(I10,{"A";"B";"C";"D";"E"},0))</f>
        <v/>
      </c>
      <c r="K10" s="22"/>
    </row>
    <row r="11" customFormat="false" ht="61.5" hidden="false" customHeight="true" outlineLevel="0" collapsed="false">
      <c r="A11" s="17"/>
      <c r="B11" s="18" t="s">
        <v>107</v>
      </c>
      <c r="C11" s="19" t="s">
        <v>108</v>
      </c>
      <c r="D11" s="20" t="s">
        <v>109</v>
      </c>
      <c r="E11" s="20" t="s">
        <v>110</v>
      </c>
      <c r="F11" s="20" t="s">
        <v>111</v>
      </c>
      <c r="G11" s="20" t="s">
        <v>112</v>
      </c>
      <c r="H11" s="20" t="s">
        <v>113</v>
      </c>
      <c r="I11" s="21"/>
      <c r="J11" s="18" t="str">
        <f aca="false">IF(I11="","",MATCH(I11,{"A";"B";"C";"D";"E"},0))</f>
        <v/>
      </c>
      <c r="K11" s="22"/>
    </row>
    <row r="12" customFormat="false" ht="61.5" hidden="false" customHeight="true" outlineLevel="0" collapsed="false">
      <c r="A12" s="17"/>
      <c r="B12" s="18" t="s">
        <v>114</v>
      </c>
      <c r="C12" s="19" t="s">
        <v>115</v>
      </c>
      <c r="D12" s="20" t="s">
        <v>116</v>
      </c>
      <c r="E12" s="20" t="s">
        <v>117</v>
      </c>
      <c r="F12" s="20" t="s">
        <v>118</v>
      </c>
      <c r="G12" s="20" t="s">
        <v>119</v>
      </c>
      <c r="H12" s="20" t="s">
        <v>120</v>
      </c>
      <c r="I12" s="21"/>
      <c r="J12" s="18" t="str">
        <f aca="false">IF(I12="","",MATCH(I12,{"A";"B";"C";"D";"E"},0))</f>
        <v/>
      </c>
      <c r="K12" s="22"/>
    </row>
    <row r="13" customFormat="false" ht="61.5" hidden="false" customHeight="true" outlineLevel="0" collapsed="false">
      <c r="A13" s="23" t="s">
        <v>39</v>
      </c>
      <c r="B13" s="24" t="s">
        <v>121</v>
      </c>
      <c r="C13" s="25" t="s">
        <v>122</v>
      </c>
      <c r="D13" s="26" t="s">
        <v>123</v>
      </c>
      <c r="E13" s="26" t="s">
        <v>124</v>
      </c>
      <c r="F13" s="26" t="s">
        <v>125</v>
      </c>
      <c r="G13" s="26" t="s">
        <v>126</v>
      </c>
      <c r="H13" s="26" t="s">
        <v>127</v>
      </c>
      <c r="I13" s="21"/>
      <c r="J13" s="24" t="str">
        <f aca="false">IF(I13="","",MATCH(I13,{"A";"B";"C";"D";"E"},0))</f>
        <v/>
      </c>
      <c r="K13" s="22"/>
    </row>
    <row r="14" customFormat="false" ht="61.5" hidden="false" customHeight="true" outlineLevel="0" collapsed="false">
      <c r="A14" s="23"/>
      <c r="B14" s="24" t="s">
        <v>128</v>
      </c>
      <c r="C14" s="25" t="s">
        <v>129</v>
      </c>
      <c r="D14" s="26" t="s">
        <v>130</v>
      </c>
      <c r="E14" s="26" t="s">
        <v>131</v>
      </c>
      <c r="F14" s="26" t="s">
        <v>132</v>
      </c>
      <c r="G14" s="26" t="s">
        <v>133</v>
      </c>
      <c r="H14" s="26" t="s">
        <v>134</v>
      </c>
      <c r="I14" s="21"/>
      <c r="J14" s="24" t="str">
        <f aca="false">IF(I14="","",MATCH(I14,{"A";"B";"C";"D";"E"},0))</f>
        <v/>
      </c>
      <c r="K14" s="22"/>
    </row>
    <row r="15" customFormat="false" ht="61.5" hidden="false" customHeight="true" outlineLevel="0" collapsed="false">
      <c r="A15" s="23"/>
      <c r="B15" s="24" t="s">
        <v>135</v>
      </c>
      <c r="C15" s="25" t="s">
        <v>136</v>
      </c>
      <c r="D15" s="26" t="s">
        <v>137</v>
      </c>
      <c r="E15" s="26" t="s">
        <v>138</v>
      </c>
      <c r="F15" s="26" t="s">
        <v>139</v>
      </c>
      <c r="G15" s="26" t="s">
        <v>140</v>
      </c>
      <c r="H15" s="26" t="s">
        <v>141</v>
      </c>
      <c r="I15" s="21"/>
      <c r="J15" s="24" t="str">
        <f aca="false">IF(I15="","",MATCH(I15,{"A";"B";"C";"D";"E"},0))</f>
        <v/>
      </c>
      <c r="K15" s="22"/>
    </row>
    <row r="16" customFormat="false" ht="61.5" hidden="false" customHeight="true" outlineLevel="0" collapsed="false">
      <c r="A16" s="17" t="s">
        <v>40</v>
      </c>
      <c r="B16" s="18" t="s">
        <v>142</v>
      </c>
      <c r="C16" s="19" t="s">
        <v>143</v>
      </c>
      <c r="D16" s="20" t="s">
        <v>144</v>
      </c>
      <c r="E16" s="20" t="s">
        <v>145</v>
      </c>
      <c r="F16" s="20" t="s">
        <v>146</v>
      </c>
      <c r="G16" s="20" t="s">
        <v>147</v>
      </c>
      <c r="H16" s="20" t="s">
        <v>148</v>
      </c>
      <c r="I16" s="21"/>
      <c r="J16" s="18" t="str">
        <f aca="false">IF(I16="","",MATCH(I16,{"A";"B";"C";"D";"E"},0))</f>
        <v/>
      </c>
      <c r="K16" s="22"/>
    </row>
    <row r="17" customFormat="false" ht="61.5" hidden="false" customHeight="true" outlineLevel="0" collapsed="false">
      <c r="A17" s="17"/>
      <c r="B17" s="18" t="s">
        <v>149</v>
      </c>
      <c r="C17" s="19" t="s">
        <v>150</v>
      </c>
      <c r="D17" s="20" t="s">
        <v>151</v>
      </c>
      <c r="E17" s="20" t="s">
        <v>152</v>
      </c>
      <c r="F17" s="20" t="s">
        <v>153</v>
      </c>
      <c r="G17" s="20" t="s">
        <v>154</v>
      </c>
      <c r="H17" s="20" t="s">
        <v>155</v>
      </c>
      <c r="I17" s="21"/>
      <c r="J17" s="18" t="str">
        <f aca="false">IF(I17="","",MATCH(I17,{"A";"B";"C";"D";"E"},0))</f>
        <v/>
      </c>
      <c r="K17" s="22"/>
    </row>
    <row r="18" customFormat="false" ht="61.5" hidden="false" customHeight="true" outlineLevel="0" collapsed="false">
      <c r="A18" s="17"/>
      <c r="B18" s="18" t="s">
        <v>156</v>
      </c>
      <c r="C18" s="19" t="s">
        <v>157</v>
      </c>
      <c r="D18" s="20" t="s">
        <v>158</v>
      </c>
      <c r="E18" s="20" t="s">
        <v>159</v>
      </c>
      <c r="F18" s="20" t="s">
        <v>160</v>
      </c>
      <c r="G18" s="20" t="s">
        <v>161</v>
      </c>
      <c r="H18" s="20" t="s">
        <v>162</v>
      </c>
      <c r="I18" s="21"/>
      <c r="J18" s="18" t="str">
        <f aca="false">IF(I18="","",MATCH(I18,{"A";"B";"C";"D";"E"},0))</f>
        <v/>
      </c>
      <c r="K18" s="22"/>
    </row>
    <row r="19" customFormat="false" ht="61.5" hidden="false" customHeight="true" outlineLevel="0" collapsed="false">
      <c r="A19" s="23" t="s">
        <v>41</v>
      </c>
      <c r="B19" s="24" t="s">
        <v>163</v>
      </c>
      <c r="C19" s="25" t="s">
        <v>164</v>
      </c>
      <c r="D19" s="26" t="s">
        <v>165</v>
      </c>
      <c r="E19" s="26" t="s">
        <v>166</v>
      </c>
      <c r="F19" s="26" t="s">
        <v>167</v>
      </c>
      <c r="G19" s="26" t="s">
        <v>168</v>
      </c>
      <c r="H19" s="26" t="s">
        <v>169</v>
      </c>
      <c r="I19" s="21"/>
      <c r="J19" s="24" t="str">
        <f aca="false">IF(I19="","",MATCH(I19,{"A";"B";"C";"D";"E"},0))</f>
        <v/>
      </c>
      <c r="K19" s="22"/>
    </row>
    <row r="20" customFormat="false" ht="61.5" hidden="false" customHeight="true" outlineLevel="0" collapsed="false">
      <c r="A20" s="23"/>
      <c r="B20" s="24" t="s">
        <v>170</v>
      </c>
      <c r="C20" s="25" t="s">
        <v>171</v>
      </c>
      <c r="D20" s="26" t="s">
        <v>172</v>
      </c>
      <c r="E20" s="26" t="s">
        <v>173</v>
      </c>
      <c r="F20" s="26" t="s">
        <v>174</v>
      </c>
      <c r="G20" s="26" t="s">
        <v>175</v>
      </c>
      <c r="H20" s="26" t="s">
        <v>176</v>
      </c>
      <c r="I20" s="21"/>
      <c r="J20" s="24" t="str">
        <f aca="false">IF(I20="","",MATCH(I20,{"A";"B";"C";"D";"E"},0))</f>
        <v/>
      </c>
      <c r="K20" s="22"/>
    </row>
    <row r="21" customFormat="false" ht="61.5" hidden="false" customHeight="true" outlineLevel="0" collapsed="false">
      <c r="A21" s="23"/>
      <c r="B21" s="24" t="s">
        <v>177</v>
      </c>
      <c r="C21" s="25" t="s">
        <v>178</v>
      </c>
      <c r="D21" s="26" t="s">
        <v>179</v>
      </c>
      <c r="E21" s="26" t="s">
        <v>180</v>
      </c>
      <c r="F21" s="26" t="s">
        <v>181</v>
      </c>
      <c r="G21" s="26" t="s">
        <v>182</v>
      </c>
      <c r="H21" s="26" t="s">
        <v>183</v>
      </c>
      <c r="I21" s="21"/>
      <c r="J21" s="24" t="str">
        <f aca="false">IF(I21="","",MATCH(I21,{"A";"B";"C";"D";"E"},0))</f>
        <v/>
      </c>
      <c r="K21" s="22"/>
    </row>
    <row r="22" customFormat="false" ht="61.5" hidden="false" customHeight="true" outlineLevel="0" collapsed="false">
      <c r="A22" s="17" t="s">
        <v>42</v>
      </c>
      <c r="B22" s="18" t="s">
        <v>184</v>
      </c>
      <c r="C22" s="19" t="s">
        <v>185</v>
      </c>
      <c r="D22" s="20" t="s">
        <v>186</v>
      </c>
      <c r="E22" s="20" t="s">
        <v>187</v>
      </c>
      <c r="F22" s="20" t="s">
        <v>188</v>
      </c>
      <c r="G22" s="20" t="s">
        <v>189</v>
      </c>
      <c r="H22" s="20" t="s">
        <v>190</v>
      </c>
      <c r="I22" s="21"/>
      <c r="J22" s="18" t="str">
        <f aca="false">IF(I22="","",MATCH(I22,{"A";"B";"C";"D";"E"},0))</f>
        <v/>
      </c>
      <c r="K22" s="22"/>
    </row>
    <row r="23" customFormat="false" ht="61.5" hidden="false" customHeight="true" outlineLevel="0" collapsed="false">
      <c r="A23" s="17"/>
      <c r="B23" s="18" t="s">
        <v>191</v>
      </c>
      <c r="C23" s="19" t="s">
        <v>192</v>
      </c>
      <c r="D23" s="20" t="s">
        <v>193</v>
      </c>
      <c r="E23" s="20" t="s">
        <v>194</v>
      </c>
      <c r="F23" s="20" t="s">
        <v>195</v>
      </c>
      <c r="G23" s="20" t="s">
        <v>196</v>
      </c>
      <c r="H23" s="20" t="s">
        <v>197</v>
      </c>
      <c r="I23" s="21"/>
      <c r="J23" s="18" t="str">
        <f aca="false">IF(I23="","",MATCH(I23,{"A";"B";"C";"D";"E"},0))</f>
        <v/>
      </c>
      <c r="K23" s="22"/>
    </row>
    <row r="24" customFormat="false" ht="61.5" hidden="false" customHeight="true" outlineLevel="0" collapsed="false">
      <c r="A24" s="17"/>
      <c r="B24" s="18" t="s">
        <v>198</v>
      </c>
      <c r="C24" s="19" t="s">
        <v>199</v>
      </c>
      <c r="D24" s="20" t="s">
        <v>200</v>
      </c>
      <c r="E24" s="20" t="s">
        <v>201</v>
      </c>
      <c r="F24" s="20" t="s">
        <v>202</v>
      </c>
      <c r="G24" s="20" t="s">
        <v>203</v>
      </c>
      <c r="H24" s="20" t="s">
        <v>204</v>
      </c>
      <c r="I24" s="21"/>
      <c r="J24" s="18" t="str">
        <f aca="false">IF(I24="","",MATCH(I24,{"A";"B";"C";"D";"E"},0))</f>
        <v/>
      </c>
      <c r="K24" s="22"/>
    </row>
    <row r="25" customFormat="false" ht="61.5" hidden="false" customHeight="true" outlineLevel="0" collapsed="false">
      <c r="A25" s="23" t="s">
        <v>43</v>
      </c>
      <c r="B25" s="24" t="s">
        <v>205</v>
      </c>
      <c r="C25" s="25" t="s">
        <v>206</v>
      </c>
      <c r="D25" s="26" t="s">
        <v>207</v>
      </c>
      <c r="E25" s="26" t="s">
        <v>208</v>
      </c>
      <c r="F25" s="26" t="s">
        <v>209</v>
      </c>
      <c r="G25" s="26" t="s">
        <v>210</v>
      </c>
      <c r="H25" s="26" t="s">
        <v>211</v>
      </c>
      <c r="I25" s="21"/>
      <c r="J25" s="24" t="str">
        <f aca="false">IF(I25="","",MATCH(I25,{"A";"B";"C";"D";"E"},0))</f>
        <v/>
      </c>
      <c r="K25" s="22"/>
    </row>
    <row r="26" customFormat="false" ht="61.5" hidden="false" customHeight="true" outlineLevel="0" collapsed="false">
      <c r="A26" s="23"/>
      <c r="B26" s="24" t="s">
        <v>212</v>
      </c>
      <c r="C26" s="25" t="s">
        <v>213</v>
      </c>
      <c r="D26" s="26" t="s">
        <v>214</v>
      </c>
      <c r="E26" s="26" t="s">
        <v>215</v>
      </c>
      <c r="F26" s="26" t="s">
        <v>216</v>
      </c>
      <c r="G26" s="26" t="s">
        <v>217</v>
      </c>
      <c r="H26" s="26" t="s">
        <v>218</v>
      </c>
      <c r="I26" s="21"/>
      <c r="J26" s="24" t="str">
        <f aca="false">IF(I26="","",MATCH(I26,{"A";"B";"C";"D";"E"},0))</f>
        <v/>
      </c>
      <c r="K26" s="22"/>
    </row>
    <row r="27" customFormat="false" ht="61.5" hidden="false" customHeight="true" outlineLevel="0" collapsed="false">
      <c r="A27" s="23"/>
      <c r="B27" s="24" t="s">
        <v>219</v>
      </c>
      <c r="C27" s="25" t="s">
        <v>220</v>
      </c>
      <c r="D27" s="26" t="s">
        <v>221</v>
      </c>
      <c r="E27" s="26" t="s">
        <v>222</v>
      </c>
      <c r="F27" s="26" t="s">
        <v>223</v>
      </c>
      <c r="G27" s="26" t="s">
        <v>224</v>
      </c>
      <c r="H27" s="26" t="s">
        <v>225</v>
      </c>
      <c r="I27" s="21"/>
      <c r="J27" s="24" t="str">
        <f aca="false">IF(I27="","",MATCH(I27,{"A";"B";"C";"D";"E"},0))</f>
        <v/>
      </c>
      <c r="K27" s="22"/>
    </row>
    <row r="28" customFormat="false" ht="61.5" hidden="false" customHeight="true" outlineLevel="0" collapsed="false">
      <c r="A28" s="17" t="s">
        <v>44</v>
      </c>
      <c r="B28" s="18" t="s">
        <v>226</v>
      </c>
      <c r="C28" s="19" t="s">
        <v>227</v>
      </c>
      <c r="D28" s="20" t="s">
        <v>228</v>
      </c>
      <c r="E28" s="20" t="s">
        <v>229</v>
      </c>
      <c r="F28" s="20" t="s">
        <v>230</v>
      </c>
      <c r="G28" s="20" t="s">
        <v>231</v>
      </c>
      <c r="H28" s="20" t="s">
        <v>232</v>
      </c>
      <c r="I28" s="21"/>
      <c r="J28" s="18" t="str">
        <f aca="false">IF(I28="","",MATCH(I28,{"A";"B";"C";"D";"E"},0))</f>
        <v/>
      </c>
      <c r="K28" s="22"/>
    </row>
    <row r="29" customFormat="false" ht="61.5" hidden="false" customHeight="true" outlineLevel="0" collapsed="false">
      <c r="A29" s="17"/>
      <c r="B29" s="18" t="s">
        <v>233</v>
      </c>
      <c r="C29" s="19" t="s">
        <v>234</v>
      </c>
      <c r="D29" s="20" t="s">
        <v>235</v>
      </c>
      <c r="E29" s="20" t="s">
        <v>236</v>
      </c>
      <c r="F29" s="20" t="s">
        <v>237</v>
      </c>
      <c r="G29" s="20" t="s">
        <v>238</v>
      </c>
      <c r="H29" s="20" t="s">
        <v>239</v>
      </c>
      <c r="I29" s="21"/>
      <c r="J29" s="18" t="str">
        <f aca="false">IF(I29="","",MATCH(I29,{"A";"B";"C";"D";"E"},0))</f>
        <v/>
      </c>
      <c r="K29" s="22"/>
    </row>
    <row r="30" customFormat="false" ht="61.5" hidden="false" customHeight="true" outlineLevel="0" collapsed="false">
      <c r="A30" s="17"/>
      <c r="B30" s="18" t="s">
        <v>240</v>
      </c>
      <c r="C30" s="19" t="s">
        <v>241</v>
      </c>
      <c r="D30" s="20" t="s">
        <v>242</v>
      </c>
      <c r="E30" s="20" t="s">
        <v>243</v>
      </c>
      <c r="F30" s="20" t="s">
        <v>244</v>
      </c>
      <c r="G30" s="20" t="s">
        <v>245</v>
      </c>
      <c r="H30" s="20" t="s">
        <v>246</v>
      </c>
      <c r="I30" s="21"/>
      <c r="J30" s="18" t="str">
        <f aca="false">IF(I30="","",MATCH(I30,{"A";"B";"C";"D";"E"},0))</f>
        <v/>
      </c>
      <c r="K30" s="22"/>
    </row>
    <row r="31" customFormat="false" ht="61.5" hidden="false" customHeight="true" outlineLevel="0" collapsed="false">
      <c r="A31" s="23" t="s">
        <v>45</v>
      </c>
      <c r="B31" s="24" t="s">
        <v>247</v>
      </c>
      <c r="C31" s="25" t="s">
        <v>248</v>
      </c>
      <c r="D31" s="26" t="s">
        <v>249</v>
      </c>
      <c r="E31" s="26" t="s">
        <v>250</v>
      </c>
      <c r="F31" s="26" t="s">
        <v>251</v>
      </c>
      <c r="G31" s="26" t="s">
        <v>252</v>
      </c>
      <c r="H31" s="26" t="s">
        <v>253</v>
      </c>
      <c r="I31" s="21"/>
      <c r="J31" s="24" t="str">
        <f aca="false">IF(I31="","",MATCH(I31,{"A";"B";"C";"D";"E"},0))</f>
        <v/>
      </c>
      <c r="K31" s="22"/>
    </row>
    <row r="32" customFormat="false" ht="61.5" hidden="false" customHeight="true" outlineLevel="0" collapsed="false">
      <c r="A32" s="23"/>
      <c r="B32" s="24" t="s">
        <v>254</v>
      </c>
      <c r="C32" s="25" t="s">
        <v>255</v>
      </c>
      <c r="D32" s="26" t="s">
        <v>256</v>
      </c>
      <c r="E32" s="26" t="s">
        <v>257</v>
      </c>
      <c r="F32" s="26" t="s">
        <v>258</v>
      </c>
      <c r="G32" s="26" t="s">
        <v>259</v>
      </c>
      <c r="H32" s="26" t="s">
        <v>260</v>
      </c>
      <c r="I32" s="21"/>
      <c r="J32" s="24" t="str">
        <f aca="false">IF(I32="","",MATCH(I32,{"A";"B";"C";"D";"E"},0))</f>
        <v/>
      </c>
      <c r="K32" s="22"/>
    </row>
    <row r="33" customFormat="false" ht="61.5" hidden="false" customHeight="true" outlineLevel="0" collapsed="false">
      <c r="A33" s="23"/>
      <c r="B33" s="24" t="s">
        <v>261</v>
      </c>
      <c r="C33" s="25" t="s">
        <v>262</v>
      </c>
      <c r="D33" s="26" t="s">
        <v>263</v>
      </c>
      <c r="E33" s="26" t="s">
        <v>264</v>
      </c>
      <c r="F33" s="26" t="s">
        <v>265</v>
      </c>
      <c r="G33" s="26" t="s">
        <v>266</v>
      </c>
      <c r="H33" s="26" t="s">
        <v>267</v>
      </c>
      <c r="I33" s="21"/>
      <c r="J33" s="24" t="str">
        <f aca="false">IF(I33="","",MATCH(I33,{"A";"B";"C";"D";"E"},0))</f>
        <v/>
      </c>
      <c r="K33" s="22"/>
    </row>
    <row r="34" customFormat="false" ht="61.5" hidden="false" customHeight="true" outlineLevel="0" collapsed="false">
      <c r="A34" s="17" t="s">
        <v>46</v>
      </c>
      <c r="B34" s="18" t="s">
        <v>268</v>
      </c>
      <c r="C34" s="19" t="s">
        <v>269</v>
      </c>
      <c r="D34" s="20" t="s">
        <v>270</v>
      </c>
      <c r="E34" s="20" t="s">
        <v>271</v>
      </c>
      <c r="F34" s="20" t="s">
        <v>272</v>
      </c>
      <c r="G34" s="20" t="s">
        <v>273</v>
      </c>
      <c r="H34" s="20" t="s">
        <v>274</v>
      </c>
      <c r="I34" s="21"/>
      <c r="J34" s="18" t="str">
        <f aca="false">IF(I34="","",MATCH(I34,{"A";"B";"C";"D";"E"},0))</f>
        <v/>
      </c>
      <c r="K34" s="22"/>
    </row>
    <row r="35" customFormat="false" ht="61.5" hidden="false" customHeight="true" outlineLevel="0" collapsed="false">
      <c r="A35" s="17"/>
      <c r="B35" s="18" t="s">
        <v>275</v>
      </c>
      <c r="C35" s="19" t="s">
        <v>276</v>
      </c>
      <c r="D35" s="20" t="s">
        <v>277</v>
      </c>
      <c r="E35" s="20" t="s">
        <v>278</v>
      </c>
      <c r="F35" s="20" t="s">
        <v>279</v>
      </c>
      <c r="G35" s="20" t="s">
        <v>280</v>
      </c>
      <c r="H35" s="20" t="s">
        <v>281</v>
      </c>
      <c r="I35" s="21"/>
      <c r="J35" s="18" t="str">
        <f aca="false">IF(I35="","",MATCH(I35,{"A";"B";"C";"D";"E"},0))</f>
        <v/>
      </c>
      <c r="K35" s="22"/>
    </row>
    <row r="36" customFormat="false" ht="61.5" hidden="false" customHeight="true" outlineLevel="0" collapsed="false">
      <c r="A36" s="17"/>
      <c r="B36" s="18" t="s">
        <v>282</v>
      </c>
      <c r="C36" s="19" t="s">
        <v>283</v>
      </c>
      <c r="D36" s="20" t="s">
        <v>284</v>
      </c>
      <c r="E36" s="20" t="s">
        <v>285</v>
      </c>
      <c r="F36" s="20" t="s">
        <v>286</v>
      </c>
      <c r="G36" s="20" t="s">
        <v>287</v>
      </c>
      <c r="H36" s="20" t="s">
        <v>288</v>
      </c>
      <c r="I36" s="21"/>
      <c r="J36" s="18" t="str">
        <f aca="false">IF(I36="","",MATCH(I36,{"A";"B";"C";"D";"E"},0))</f>
        <v/>
      </c>
      <c r="K36" s="22"/>
    </row>
    <row r="38" customFormat="false" ht="15" hidden="false" customHeight="false" outlineLevel="0" collapsed="false">
      <c r="C38" s="4" t="s">
        <v>289</v>
      </c>
      <c r="I38" s="27" t="str">
        <f aca="false">COUNTA(I4:I36)&amp;" / 33"</f>
        <v>0 / 33</v>
      </c>
    </row>
  </sheetData>
  <mergeCells count="12">
    <mergeCell ref="A1:K1"/>
    <mergeCell ref="A4:A6"/>
    <mergeCell ref="A7:A9"/>
    <mergeCell ref="A10:A12"/>
    <mergeCell ref="A13:A15"/>
    <mergeCell ref="A16:A18"/>
    <mergeCell ref="A19:A21"/>
    <mergeCell ref="A22:A24"/>
    <mergeCell ref="A25:A27"/>
    <mergeCell ref="A28:A30"/>
    <mergeCell ref="A31:A33"/>
    <mergeCell ref="A34:A36"/>
  </mergeCells>
  <dataValidations count="1">
    <dataValidation allowBlank="true" error="Sélectionnez une lettre entre A et E." errorStyle="stop" errorTitle="Réponse invalide" operator="between" showDropDown="false" showErrorMessage="false" showInputMessage="false" sqref="I4:I36" type="list">
      <formula1>"A,B,C,D,E"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Q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2"/>
    <col collapsed="false" customWidth="true" hidden="false" outlineLevel="0" max="3" min="3" style="0" width="12"/>
    <col collapsed="false" customWidth="true" hidden="false" outlineLevel="0" max="4" min="4" style="0" width="9"/>
    <col collapsed="false" customWidth="true" hidden="false" outlineLevel="0" max="5" min="5" style="0" width="13"/>
    <col collapsed="false" customWidth="true" hidden="false" outlineLevel="0" max="6" min="6" style="0" width="18"/>
    <col collapsed="false" customWidth="true" hidden="false" outlineLevel="0" max="7" min="7" style="0" width="11"/>
    <col collapsed="false" customWidth="true" hidden="true" outlineLevel="0" max="17" min="16" style="0" width="13"/>
  </cols>
  <sheetData>
    <row r="2" customFormat="false" ht="19.7" hidden="false" customHeight="false" outlineLevel="0" collapsed="false">
      <c r="B2" s="1" t="s">
        <v>290</v>
      </c>
    </row>
    <row r="3" customFormat="false" ht="15" hidden="false" customHeight="false" outlineLevel="0" collapsed="false">
      <c r="B3" s="2" t="s">
        <v>291</v>
      </c>
    </row>
    <row r="5" customFormat="false" ht="15" hidden="false" customHeight="false" outlineLevel="0" collapsed="false">
      <c r="A5" s="8"/>
      <c r="B5" s="8" t="s">
        <v>34</v>
      </c>
      <c r="C5" s="8" t="s">
        <v>292</v>
      </c>
      <c r="D5" s="8" t="s">
        <v>35</v>
      </c>
      <c r="E5" s="8" t="s">
        <v>293</v>
      </c>
      <c r="F5" s="8" t="s">
        <v>294</v>
      </c>
      <c r="G5" s="8" t="s">
        <v>295</v>
      </c>
    </row>
    <row r="6" customFormat="false" ht="15" hidden="false" customHeight="false" outlineLevel="0" collapsed="false">
      <c r="B6" s="28" t="s">
        <v>36</v>
      </c>
      <c r="C6" s="29" t="str">
        <f aca="false">IFERROR(AVERAGE('1. Questionnaire'!J4:J6),"")</f>
        <v/>
      </c>
      <c r="D6" s="30" t="n">
        <f aca="false">'0. Notice'!C37</f>
        <v>8</v>
      </c>
      <c r="E6" s="31" t="str">
        <f aca="false">IFERROR(C6*D6,"")</f>
        <v/>
      </c>
      <c r="F6" s="28" t="str">
        <f aca="false">IF(C6="","—",INDEX('0. Notice'!$D$27:$D$31,MATCH(C6,{0;1.81;2.61;3.41;4.21},1)))</f>
        <v>—</v>
      </c>
      <c r="G6" s="30" t="str">
        <f aca="false">COUNTA('1. Questionnaire'!I4:I6)&amp;" / 3"</f>
        <v>0 / 3</v>
      </c>
      <c r="P6" s="32" t="n">
        <f aca="false">IF(C6="",0,C6*D6)</f>
        <v>0</v>
      </c>
      <c r="Q6" s="32" t="n">
        <f aca="false">IF(C6="",0,D6)</f>
        <v>0</v>
      </c>
    </row>
    <row r="7" customFormat="false" ht="15" hidden="false" customHeight="false" outlineLevel="0" collapsed="false">
      <c r="B7" s="28" t="s">
        <v>37</v>
      </c>
      <c r="C7" s="29" t="str">
        <f aca="false">IFERROR(AVERAGE('1. Questionnaire'!J7:J9),"")</f>
        <v/>
      </c>
      <c r="D7" s="30" t="n">
        <f aca="false">'0. Notice'!C38</f>
        <v>12</v>
      </c>
      <c r="E7" s="31" t="str">
        <f aca="false">IFERROR(C7*D7,"")</f>
        <v/>
      </c>
      <c r="F7" s="28" t="str">
        <f aca="false">IF(C7="","—",INDEX('0. Notice'!$D$27:$D$31,MATCH(C7,{0;1.81;2.61;3.41;4.21},1)))</f>
        <v>—</v>
      </c>
      <c r="G7" s="30" t="str">
        <f aca="false">COUNTA('1. Questionnaire'!I7:I9)&amp;" / 3"</f>
        <v>0 / 3</v>
      </c>
      <c r="P7" s="32" t="n">
        <f aca="false">IF(C7="",0,C7*D7)</f>
        <v>0</v>
      </c>
      <c r="Q7" s="32" t="n">
        <f aca="false">IF(C7="",0,D7)</f>
        <v>0</v>
      </c>
    </row>
    <row r="8" customFormat="false" ht="15" hidden="false" customHeight="false" outlineLevel="0" collapsed="false">
      <c r="B8" s="28" t="s">
        <v>38</v>
      </c>
      <c r="C8" s="29" t="str">
        <f aca="false">IFERROR(AVERAGE('1. Questionnaire'!J10:J12),"")</f>
        <v/>
      </c>
      <c r="D8" s="30" t="n">
        <f aca="false">'0. Notice'!C39</f>
        <v>8</v>
      </c>
      <c r="E8" s="31" t="str">
        <f aca="false">IFERROR(C8*D8,"")</f>
        <v/>
      </c>
      <c r="F8" s="28" t="str">
        <f aca="false">IF(C8="","—",INDEX('0. Notice'!$D$27:$D$31,MATCH(C8,{0;1.81;2.61;3.41;4.21},1)))</f>
        <v>—</v>
      </c>
      <c r="G8" s="30" t="str">
        <f aca="false">COUNTA('1. Questionnaire'!I10:I12)&amp;" / 3"</f>
        <v>0 / 3</v>
      </c>
      <c r="P8" s="32" t="n">
        <f aca="false">IF(C8="",0,C8*D8)</f>
        <v>0</v>
      </c>
      <c r="Q8" s="32" t="n">
        <f aca="false">IF(C8="",0,D8)</f>
        <v>0</v>
      </c>
    </row>
    <row r="9" customFormat="false" ht="15" hidden="false" customHeight="false" outlineLevel="0" collapsed="false">
      <c r="B9" s="28" t="s">
        <v>39</v>
      </c>
      <c r="C9" s="29" t="str">
        <f aca="false">IFERROR(AVERAGE('1. Questionnaire'!J13:J15),"")</f>
        <v/>
      </c>
      <c r="D9" s="30" t="n">
        <f aca="false">'0. Notice'!C40</f>
        <v>10</v>
      </c>
      <c r="E9" s="31" t="str">
        <f aca="false">IFERROR(C9*D9,"")</f>
        <v/>
      </c>
      <c r="F9" s="28" t="str">
        <f aca="false">IF(C9="","—",INDEX('0. Notice'!$D$27:$D$31,MATCH(C9,{0;1.81;2.61;3.41;4.21},1)))</f>
        <v>—</v>
      </c>
      <c r="G9" s="30" t="str">
        <f aca="false">COUNTA('1. Questionnaire'!I13:I15)&amp;" / 3"</f>
        <v>0 / 3</v>
      </c>
      <c r="P9" s="32" t="n">
        <f aca="false">IF(C9="",0,C9*D9)</f>
        <v>0</v>
      </c>
      <c r="Q9" s="32" t="n">
        <f aca="false">IF(C9="",0,D9)</f>
        <v>0</v>
      </c>
    </row>
    <row r="10" customFormat="false" ht="15" hidden="false" customHeight="false" outlineLevel="0" collapsed="false">
      <c r="B10" s="28" t="s">
        <v>40</v>
      </c>
      <c r="C10" s="29" t="str">
        <f aca="false">IFERROR(AVERAGE('1. Questionnaire'!J16:J18),"")</f>
        <v/>
      </c>
      <c r="D10" s="30" t="n">
        <f aca="false">'0. Notice'!C41</f>
        <v>10</v>
      </c>
      <c r="E10" s="31" t="str">
        <f aca="false">IFERROR(C10*D10,"")</f>
        <v/>
      </c>
      <c r="F10" s="28" t="str">
        <f aca="false">IF(C10="","—",INDEX('0. Notice'!$D$27:$D$31,MATCH(C10,{0;1.81;2.61;3.41;4.21},1)))</f>
        <v>—</v>
      </c>
      <c r="G10" s="30" t="str">
        <f aca="false">COUNTA('1. Questionnaire'!I16:I18)&amp;" / 3"</f>
        <v>0 / 3</v>
      </c>
      <c r="P10" s="32" t="n">
        <f aca="false">IF(C10="",0,C10*D10)</f>
        <v>0</v>
      </c>
      <c r="Q10" s="32" t="n">
        <f aca="false">IF(C10="",0,D10)</f>
        <v>0</v>
      </c>
    </row>
    <row r="11" customFormat="false" ht="15" hidden="false" customHeight="false" outlineLevel="0" collapsed="false">
      <c r="B11" s="28" t="s">
        <v>41</v>
      </c>
      <c r="C11" s="29" t="str">
        <f aca="false">IFERROR(AVERAGE('1. Questionnaire'!J19:J21),"")</f>
        <v/>
      </c>
      <c r="D11" s="30" t="n">
        <f aca="false">'0. Notice'!C42</f>
        <v>10</v>
      </c>
      <c r="E11" s="31" t="str">
        <f aca="false">IFERROR(C11*D11,"")</f>
        <v/>
      </c>
      <c r="F11" s="28" t="str">
        <f aca="false">IF(C11="","—",INDEX('0. Notice'!$D$27:$D$31,MATCH(C11,{0;1.81;2.61;3.41;4.21},1)))</f>
        <v>—</v>
      </c>
      <c r="G11" s="30" t="str">
        <f aca="false">COUNTA('1. Questionnaire'!I19:I21)&amp;" / 3"</f>
        <v>0 / 3</v>
      </c>
      <c r="P11" s="32" t="n">
        <f aca="false">IF(C11="",0,C11*D11)</f>
        <v>0</v>
      </c>
      <c r="Q11" s="32" t="n">
        <f aca="false">IF(C11="",0,D11)</f>
        <v>0</v>
      </c>
    </row>
    <row r="12" customFormat="false" ht="15" hidden="false" customHeight="false" outlineLevel="0" collapsed="false">
      <c r="B12" s="28" t="s">
        <v>42</v>
      </c>
      <c r="C12" s="29" t="str">
        <f aca="false">IFERROR(AVERAGE('1. Questionnaire'!J22:J24),"")</f>
        <v/>
      </c>
      <c r="D12" s="30" t="n">
        <f aca="false">'0. Notice'!C43</f>
        <v>7</v>
      </c>
      <c r="E12" s="31" t="str">
        <f aca="false">IFERROR(C12*D12,"")</f>
        <v/>
      </c>
      <c r="F12" s="28" t="str">
        <f aca="false">IF(C12="","—",INDEX('0. Notice'!$D$27:$D$31,MATCH(C12,{0;1.81;2.61;3.41;4.21},1)))</f>
        <v>—</v>
      </c>
      <c r="G12" s="30" t="str">
        <f aca="false">COUNTA('1. Questionnaire'!I22:I24)&amp;" / 3"</f>
        <v>0 / 3</v>
      </c>
      <c r="P12" s="32" t="n">
        <f aca="false">IF(C12="",0,C12*D12)</f>
        <v>0</v>
      </c>
      <c r="Q12" s="32" t="n">
        <f aca="false">IF(C12="",0,D12)</f>
        <v>0</v>
      </c>
    </row>
    <row r="13" customFormat="false" ht="15" hidden="false" customHeight="false" outlineLevel="0" collapsed="false">
      <c r="B13" s="28" t="s">
        <v>43</v>
      </c>
      <c r="C13" s="29" t="str">
        <f aca="false">IFERROR(AVERAGE('1. Questionnaire'!J25:J27),"")</f>
        <v/>
      </c>
      <c r="D13" s="30" t="n">
        <f aca="false">'0. Notice'!C44</f>
        <v>7</v>
      </c>
      <c r="E13" s="31" t="str">
        <f aca="false">IFERROR(C13*D13,"")</f>
        <v/>
      </c>
      <c r="F13" s="28" t="str">
        <f aca="false">IF(C13="","—",INDEX('0. Notice'!$D$27:$D$31,MATCH(C13,{0;1.81;2.61;3.41;4.21},1)))</f>
        <v>—</v>
      </c>
      <c r="G13" s="30" t="str">
        <f aca="false">COUNTA('1. Questionnaire'!I25:I27)&amp;" / 3"</f>
        <v>0 / 3</v>
      </c>
      <c r="P13" s="32" t="n">
        <f aca="false">IF(C13="",0,C13*D13)</f>
        <v>0</v>
      </c>
      <c r="Q13" s="32" t="n">
        <f aca="false">IF(C13="",0,D13)</f>
        <v>0</v>
      </c>
    </row>
    <row r="14" customFormat="false" ht="15" hidden="false" customHeight="false" outlineLevel="0" collapsed="false">
      <c r="B14" s="28" t="s">
        <v>44</v>
      </c>
      <c r="C14" s="29" t="str">
        <f aca="false">IFERROR(AVERAGE('1. Questionnaire'!J28:J30),"")</f>
        <v/>
      </c>
      <c r="D14" s="30" t="n">
        <f aca="false">'0. Notice'!C45</f>
        <v>12</v>
      </c>
      <c r="E14" s="31" t="str">
        <f aca="false">IFERROR(C14*D14,"")</f>
        <v/>
      </c>
      <c r="F14" s="28" t="str">
        <f aca="false">IF(C14="","—",INDEX('0. Notice'!$D$27:$D$31,MATCH(C14,{0;1.81;2.61;3.41;4.21},1)))</f>
        <v>—</v>
      </c>
      <c r="G14" s="30" t="str">
        <f aca="false">COUNTA('1. Questionnaire'!I28:I30)&amp;" / 3"</f>
        <v>0 / 3</v>
      </c>
      <c r="P14" s="32" t="n">
        <f aca="false">IF(C14="",0,C14*D14)</f>
        <v>0</v>
      </c>
      <c r="Q14" s="32" t="n">
        <f aca="false">IF(C14="",0,D14)</f>
        <v>0</v>
      </c>
    </row>
    <row r="15" customFormat="false" ht="15" hidden="false" customHeight="false" outlineLevel="0" collapsed="false">
      <c r="B15" s="28" t="s">
        <v>45</v>
      </c>
      <c r="C15" s="29" t="str">
        <f aca="false">IFERROR(AVERAGE('1. Questionnaire'!J31:J33),"")</f>
        <v/>
      </c>
      <c r="D15" s="30" t="n">
        <f aca="false">'0. Notice'!C46</f>
        <v>10</v>
      </c>
      <c r="E15" s="31" t="str">
        <f aca="false">IFERROR(C15*D15,"")</f>
        <v/>
      </c>
      <c r="F15" s="28" t="str">
        <f aca="false">IF(C15="","—",INDEX('0. Notice'!$D$27:$D$31,MATCH(C15,{0;1.81;2.61;3.41;4.21},1)))</f>
        <v>—</v>
      </c>
      <c r="G15" s="30" t="str">
        <f aca="false">COUNTA('1. Questionnaire'!I31:I33)&amp;" / 3"</f>
        <v>0 / 3</v>
      </c>
      <c r="P15" s="32" t="n">
        <f aca="false">IF(C15="",0,C15*D15)</f>
        <v>0</v>
      </c>
      <c r="Q15" s="32" t="n">
        <f aca="false">IF(C15="",0,D15)</f>
        <v>0</v>
      </c>
    </row>
    <row r="16" customFormat="false" ht="15" hidden="false" customHeight="false" outlineLevel="0" collapsed="false">
      <c r="B16" s="28" t="s">
        <v>46</v>
      </c>
      <c r="C16" s="29" t="str">
        <f aca="false">IFERROR(AVERAGE('1. Questionnaire'!J34:J36),"")</f>
        <v/>
      </c>
      <c r="D16" s="30" t="n">
        <f aca="false">'0. Notice'!C47</f>
        <v>6</v>
      </c>
      <c r="E16" s="31" t="str">
        <f aca="false">IFERROR(C16*D16,"")</f>
        <v/>
      </c>
      <c r="F16" s="28" t="str">
        <f aca="false">IF(C16="","—",INDEX('0. Notice'!$D$27:$D$31,MATCH(C16,{0;1.81;2.61;3.41;4.21},1)))</f>
        <v>—</v>
      </c>
      <c r="G16" s="30" t="str">
        <f aca="false">COUNTA('1. Questionnaire'!I34:I36)&amp;" / 3"</f>
        <v>0 / 3</v>
      </c>
      <c r="P16" s="32" t="n">
        <f aca="false">IF(C16="",0,C16*D16)</f>
        <v>0</v>
      </c>
      <c r="Q16" s="32" t="n">
        <f aca="false">IF(C16="",0,D16)</f>
        <v>0</v>
      </c>
    </row>
    <row r="17" customFormat="false" ht="15" hidden="false" customHeight="false" outlineLevel="0" collapsed="false">
      <c r="B17" s="33" t="s">
        <v>296</v>
      </c>
      <c r="C17" s="34" t="str">
        <f aca="false">IF(SUM(Q6:Q16)=0,"",SUM(P6:P16)/SUM(Q6:Q16))</f>
        <v/>
      </c>
      <c r="D17" s="15" t="n">
        <f aca="false">SUM(D6:D16)</f>
        <v>100</v>
      </c>
      <c r="E17" s="35"/>
      <c r="F17" s="36" t="str">
        <f aca="false">IF(C17="","—",INDEX('0. Notice'!$D$27:$D$31,MATCH(C17,{0;1.81;2.61;3.41;4.21},1)))</f>
        <v>—</v>
      </c>
      <c r="G17" s="35"/>
    </row>
    <row r="20" customFormat="false" ht="15" hidden="false" customHeight="false" outlineLevel="0" collapsed="false">
      <c r="B20" s="3" t="s">
        <v>297</v>
      </c>
    </row>
    <row r="21" customFormat="false" ht="15" hidden="false" customHeight="false" outlineLevel="0" collapsed="false">
      <c r="A21" s="8"/>
      <c r="B21" s="8" t="s">
        <v>298</v>
      </c>
      <c r="C21" s="8" t="s">
        <v>299</v>
      </c>
    </row>
    <row r="22" customFormat="false" ht="15" hidden="false" customHeight="false" outlineLevel="0" collapsed="false">
      <c r="B22" s="12" t="s">
        <v>300</v>
      </c>
      <c r="C22" s="12" t="s">
        <v>23</v>
      </c>
    </row>
    <row r="23" customFormat="false" ht="15" hidden="false" customHeight="false" outlineLevel="0" collapsed="false">
      <c r="B23" s="12" t="s">
        <v>301</v>
      </c>
      <c r="C23" s="12" t="s">
        <v>25</v>
      </c>
    </row>
    <row r="24" customFormat="false" ht="15" hidden="false" customHeight="false" outlineLevel="0" collapsed="false">
      <c r="B24" s="12" t="s">
        <v>302</v>
      </c>
      <c r="C24" s="12" t="s">
        <v>27</v>
      </c>
    </row>
    <row r="25" customFormat="false" ht="15" hidden="false" customHeight="false" outlineLevel="0" collapsed="false">
      <c r="B25" s="12" t="s">
        <v>303</v>
      </c>
      <c r="C25" s="12" t="s">
        <v>29</v>
      </c>
    </row>
    <row r="26" customFormat="false" ht="15" hidden="false" customHeight="false" outlineLevel="0" collapsed="false">
      <c r="B26" s="12" t="s">
        <v>304</v>
      </c>
      <c r="C26" s="12" t="s">
        <v>31</v>
      </c>
    </row>
  </sheetData>
  <conditionalFormatting sqref="C6:C16">
    <cfRule type="cellIs" priority="2" operator="lessThan" aboveAverage="0" equalAverage="0" bottom="0" percent="0" rank="0" text="" dxfId="0">
      <formula>1.9</formula>
    </cfRule>
    <cfRule type="cellIs" priority="3" operator="between" aboveAverage="0" equalAverage="0" bottom="0" percent="0" rank="0" text="" dxfId="1">
      <formula>1.9</formula>
      <formula>2.69</formula>
    </cfRule>
    <cfRule type="cellIs" priority="4" operator="between" aboveAverage="0" equalAverage="0" bottom="0" percent="0" rank="0" text="" dxfId="2">
      <formula>2.7</formula>
      <formula>3.49</formula>
    </cfRule>
    <cfRule type="cellIs" priority="5" operator="greaterThanOrEqual" aboveAverage="0" equalAverage="0" bottom="0" percent="0" rank="0" text="" dxfId="3">
      <formula>3.5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9"/>
    <col collapsed="false" customWidth="true" hidden="false" outlineLevel="0" max="3" min="3" style="0" width="15"/>
    <col collapsed="false" customWidth="true" hidden="false" outlineLevel="0" max="4" min="4" style="0" width="48"/>
    <col collapsed="false" customWidth="true" hidden="false" outlineLevel="0" max="6" min="5" style="0" width="56"/>
  </cols>
  <sheetData>
    <row r="1" customFormat="false" ht="19.7" hidden="false" customHeight="false" outlineLevel="0" collapsed="false">
      <c r="A1" s="1" t="s">
        <v>305</v>
      </c>
    </row>
    <row r="2" customFormat="false" ht="15" hidden="false" customHeight="false" outlineLevel="0" collapsed="false">
      <c r="A2" s="11" t="s">
        <v>306</v>
      </c>
      <c r="B2" s="11"/>
      <c r="C2" s="11"/>
      <c r="D2" s="11"/>
      <c r="E2" s="11"/>
    </row>
    <row r="4" customFormat="false" ht="15" hidden="false" customHeight="false" outlineLevel="0" collapsed="false">
      <c r="A4" s="8" t="s">
        <v>34</v>
      </c>
      <c r="B4" s="8" t="s">
        <v>292</v>
      </c>
      <c r="C4" s="8" t="s">
        <v>299</v>
      </c>
      <c r="D4" s="8" t="s">
        <v>307</v>
      </c>
      <c r="E4" s="8" t="s">
        <v>308</v>
      </c>
      <c r="F4" s="8" t="s">
        <v>309</v>
      </c>
    </row>
    <row r="5" customFormat="false" ht="78" hidden="false" customHeight="true" outlineLevel="0" collapsed="false">
      <c r="A5" s="19" t="str">
        <f aca="false">'2. Résultats'!B6</f>
        <v>1. Stratégie</v>
      </c>
      <c r="B5" s="37" t="str">
        <f aca="false">'2. Résultats'!C6</f>
        <v/>
      </c>
      <c r="C5" s="38" t="str">
        <f aca="false">'2. Résultats'!F6</f>
        <v>—</v>
      </c>
      <c r="D5" s="20" t="str">
        <f aca="false">IFERROR(INDEX('4. Référentiel recos'!$D$4:$D$58,MATCH('2. Résultats'!$B$6&amp;"|"&amp;'2. Résultats'!$F$6,'4. Référentiel recos'!$A$4:$A$58,0)),"Complétez le questionnaire pour cette dimension.")</f>
        <v>Complétez le questionnaire pour cette dimension.</v>
      </c>
      <c r="E5" s="20" t="str">
        <f aca="false">IFERROR(INDEX('4. Référentiel recos'!$E$4:$E$58,MATCH('2. Résultats'!$B$6&amp;"|"&amp;'2. Résultats'!$F$6,'4. Référentiel recos'!$A$4:$A$58,0)),"Complétez le questionnaire pour cette dimension.")</f>
        <v>Complétez le questionnaire pour cette dimension.</v>
      </c>
      <c r="F5" s="20" t="str">
        <f aca="false">IFERROR(INDEX('4. Référentiel recos'!$F$4:$F$58,MATCH('2. Résultats'!$B$6&amp;"|"&amp;'2. Résultats'!$F$6,'4. Référentiel recos'!$A$4:$A$58,0)),"Complétez le questionnaire pour cette dimension.")</f>
        <v>Complétez le questionnaire pour cette dimension.</v>
      </c>
    </row>
    <row r="6" customFormat="false" ht="78" hidden="false" customHeight="true" outlineLevel="0" collapsed="false">
      <c r="A6" s="19" t="str">
        <f aca="false">'2. Résultats'!B7</f>
        <v>2. Gouvernance</v>
      </c>
      <c r="B6" s="37" t="str">
        <f aca="false">'2. Résultats'!C7</f>
        <v/>
      </c>
      <c r="C6" s="38" t="str">
        <f aca="false">'2. Résultats'!F7</f>
        <v>—</v>
      </c>
      <c r="D6" s="20" t="str">
        <f aca="false">IFERROR(INDEX('4. Référentiel recos'!$D$4:$D$58,MATCH('2. Résultats'!$B$7&amp;"|"&amp;'2. Résultats'!$F$7,'4. Référentiel recos'!$A$4:$A$58,0)),"Complétez le questionnaire pour cette dimension.")</f>
        <v>Complétez le questionnaire pour cette dimension.</v>
      </c>
      <c r="E6" s="20" t="str">
        <f aca="false">IFERROR(INDEX('4. Référentiel recos'!$E$4:$E$58,MATCH('2. Résultats'!$B$7&amp;"|"&amp;'2. Résultats'!$F$7,'4. Référentiel recos'!$A$4:$A$58,0)),"Complétez le questionnaire pour cette dimension.")</f>
        <v>Complétez le questionnaire pour cette dimension.</v>
      </c>
      <c r="F6" s="20" t="str">
        <f aca="false">IFERROR(INDEX('4. Référentiel recos'!$F$4:$F$58,MATCH('2. Résultats'!$B$7&amp;"|"&amp;'2. Résultats'!$F$7,'4. Référentiel recos'!$A$4:$A$58,0)),"Complétez le questionnaire pour cette dimension.")</f>
        <v>Complétez le questionnaire pour cette dimension.</v>
      </c>
    </row>
    <row r="7" customFormat="false" ht="78" hidden="false" customHeight="true" outlineLevel="0" collapsed="false">
      <c r="A7" s="19" t="str">
        <f aca="false">'2. Résultats'!B8</f>
        <v>3. Culture</v>
      </c>
      <c r="B7" s="37" t="str">
        <f aca="false">'2. Résultats'!C8</f>
        <v/>
      </c>
      <c r="C7" s="38" t="str">
        <f aca="false">'2. Résultats'!F8</f>
        <v>—</v>
      </c>
      <c r="D7" s="20" t="str">
        <f aca="false">IFERROR(INDEX('4. Référentiel recos'!$D$4:$D$58,MATCH('2. Résultats'!$B$8&amp;"|"&amp;'2. Résultats'!$F$8,'4. Référentiel recos'!$A$4:$A$58,0)),"Complétez le questionnaire pour cette dimension.")</f>
        <v>Complétez le questionnaire pour cette dimension.</v>
      </c>
      <c r="E7" s="20" t="str">
        <f aca="false">IFERROR(INDEX('4. Référentiel recos'!$E$4:$E$58,MATCH('2. Résultats'!$B$8&amp;"|"&amp;'2. Résultats'!$F$8,'4. Référentiel recos'!$A$4:$A$58,0)),"Complétez le questionnaire pour cette dimension.")</f>
        <v>Complétez le questionnaire pour cette dimension.</v>
      </c>
      <c r="F7" s="20" t="str">
        <f aca="false">IFERROR(INDEX('4. Référentiel recos'!$F$4:$F$58,MATCH('2. Résultats'!$B$8&amp;"|"&amp;'2. Résultats'!$F$8,'4. Référentiel recos'!$A$4:$A$58,0)),"Complétez le questionnaire pour cette dimension.")</f>
        <v>Complétez le questionnaire pour cette dimension.</v>
      </c>
    </row>
    <row r="8" customFormat="false" ht="78" hidden="false" customHeight="true" outlineLevel="0" collapsed="false">
      <c r="A8" s="19" t="str">
        <f aca="false">'2. Résultats'!B9</f>
        <v>4. Identification des risques</v>
      </c>
      <c r="B8" s="37" t="str">
        <f aca="false">'2. Résultats'!C9</f>
        <v/>
      </c>
      <c r="C8" s="38" t="str">
        <f aca="false">'2. Résultats'!F9</f>
        <v>—</v>
      </c>
      <c r="D8" s="20" t="str">
        <f aca="false">IFERROR(INDEX('4. Référentiel recos'!$D$4:$D$58,MATCH('2. Résultats'!$B$9&amp;"|"&amp;'2. Résultats'!$F$9,'4. Référentiel recos'!$A$4:$A$58,0)),"Complétez le questionnaire pour cette dimension.")</f>
        <v>Complétez le questionnaire pour cette dimension.</v>
      </c>
      <c r="E8" s="20" t="str">
        <f aca="false">IFERROR(INDEX('4. Référentiel recos'!$E$4:$E$58,MATCH('2. Résultats'!$B$9&amp;"|"&amp;'2. Résultats'!$F$9,'4. Référentiel recos'!$A$4:$A$58,0)),"Complétez le questionnaire pour cette dimension.")</f>
        <v>Complétez le questionnaire pour cette dimension.</v>
      </c>
      <c r="F8" s="20" t="str">
        <f aca="false">IFERROR(INDEX('4. Référentiel recos'!$F$4:$F$58,MATCH('2. Résultats'!$B$9&amp;"|"&amp;'2. Résultats'!$F$9,'4. Référentiel recos'!$A$4:$A$58,0)),"Complétez le questionnaire pour cette dimension.")</f>
        <v>Complétez le questionnaire pour cette dimension.</v>
      </c>
    </row>
    <row r="9" customFormat="false" ht="78" hidden="false" customHeight="true" outlineLevel="0" collapsed="false">
      <c r="A9" s="19" t="str">
        <f aca="false">'2. Résultats'!B10</f>
        <v>5. Analyse et évaluation des risques</v>
      </c>
      <c r="B9" s="37" t="str">
        <f aca="false">'2. Résultats'!C10</f>
        <v/>
      </c>
      <c r="C9" s="38" t="str">
        <f aca="false">'2. Résultats'!F10</f>
        <v>—</v>
      </c>
      <c r="D9" s="20" t="str">
        <f aca="false">IFERROR(INDEX('4. Référentiel recos'!$D$4:$D$58,MATCH('2. Résultats'!$B$10&amp;"|"&amp;'2. Résultats'!$F$10,'4. Référentiel recos'!$A$4:$A$58,0)),"Complétez le questionnaire pour cette dimension.")</f>
        <v>Complétez le questionnaire pour cette dimension.</v>
      </c>
      <c r="E9" s="20" t="str">
        <f aca="false">IFERROR(INDEX('4. Référentiel recos'!$E$4:$E$58,MATCH('2. Résultats'!$B$10&amp;"|"&amp;'2. Résultats'!$F$10,'4. Référentiel recos'!$A$4:$A$58,0)),"Complétez le questionnaire pour cette dimension.")</f>
        <v>Complétez le questionnaire pour cette dimension.</v>
      </c>
      <c r="F9" s="20" t="str">
        <f aca="false">IFERROR(INDEX('4. Référentiel recos'!$F$4:$F$58,MATCH('2. Résultats'!$B$10&amp;"|"&amp;'2. Résultats'!$F$10,'4. Référentiel recos'!$A$4:$A$58,0)),"Complétez le questionnaire pour cette dimension.")</f>
        <v>Complétez le questionnaire pour cette dimension.</v>
      </c>
    </row>
    <row r="10" customFormat="false" ht="78" hidden="false" customHeight="true" outlineLevel="0" collapsed="false">
      <c r="A10" s="19" t="str">
        <f aca="false">'2. Résultats'!B11</f>
        <v>6. Traitement des risques</v>
      </c>
      <c r="B10" s="37" t="str">
        <f aca="false">'2. Résultats'!C11</f>
        <v/>
      </c>
      <c r="C10" s="38" t="str">
        <f aca="false">'2. Résultats'!F11</f>
        <v>—</v>
      </c>
      <c r="D10" s="20" t="str">
        <f aca="false">IFERROR(INDEX('4. Référentiel recos'!$D$4:$D$58,MATCH('2. Résultats'!$B$11&amp;"|"&amp;'2. Résultats'!$F$11,'4. Référentiel recos'!$A$4:$A$58,0)),"Complétez le questionnaire pour cette dimension.")</f>
        <v>Complétez le questionnaire pour cette dimension.</v>
      </c>
      <c r="E10" s="20" t="str">
        <f aca="false">IFERROR(INDEX('4. Référentiel recos'!$E$4:$E$58,MATCH('2. Résultats'!$B$11&amp;"|"&amp;'2. Résultats'!$F$11,'4. Référentiel recos'!$A$4:$A$58,0)),"Complétez le questionnaire pour cette dimension.")</f>
        <v>Complétez le questionnaire pour cette dimension.</v>
      </c>
      <c r="F10" s="20" t="str">
        <f aca="false">IFERROR(INDEX('4. Référentiel recos'!$F$4:$F$58,MATCH('2. Résultats'!$B$11&amp;"|"&amp;'2. Résultats'!$F$11,'4. Référentiel recos'!$A$4:$A$58,0)),"Complétez le questionnaire pour cette dimension.")</f>
        <v>Complétez le questionnaire pour cette dimension.</v>
      </c>
    </row>
    <row r="11" customFormat="false" ht="78" hidden="false" customHeight="true" outlineLevel="0" collapsed="false">
      <c r="A11" s="19" t="str">
        <f aca="false">'2. Résultats'!B12</f>
        <v>7. Revue et révision</v>
      </c>
      <c r="B11" s="37" t="str">
        <f aca="false">'2. Résultats'!C12</f>
        <v/>
      </c>
      <c r="C11" s="38" t="str">
        <f aca="false">'2. Résultats'!F12</f>
        <v>—</v>
      </c>
      <c r="D11" s="20" t="str">
        <f aca="false">IFERROR(INDEX('4. Référentiel recos'!$D$4:$D$58,MATCH('2. Résultats'!$B$12&amp;"|"&amp;'2. Résultats'!$F$12,'4. Référentiel recos'!$A$4:$A$58,0)),"Complétez le questionnaire pour cette dimension.")</f>
        <v>Complétez le questionnaire pour cette dimension.</v>
      </c>
      <c r="E11" s="20" t="str">
        <f aca="false">IFERROR(INDEX('4. Référentiel recos'!$E$4:$E$58,MATCH('2. Résultats'!$B$12&amp;"|"&amp;'2. Résultats'!$F$12,'4. Référentiel recos'!$A$4:$A$58,0)),"Complétez le questionnaire pour cette dimension.")</f>
        <v>Complétez le questionnaire pour cette dimension.</v>
      </c>
      <c r="F11" s="20" t="str">
        <f aca="false">IFERROR(INDEX('4. Référentiel recos'!$F$4:$F$58,MATCH('2. Résultats'!$B$12&amp;"|"&amp;'2. Résultats'!$F$12,'4. Référentiel recos'!$A$4:$A$58,0)),"Complétez le questionnaire pour cette dimension.")</f>
        <v>Complétez le questionnaire pour cette dimension.</v>
      </c>
    </row>
    <row r="12" customFormat="false" ht="78" hidden="false" customHeight="true" outlineLevel="0" collapsed="false">
      <c r="A12" s="19" t="str">
        <f aca="false">'2. Résultats'!B13</f>
        <v>8. Information et reporting</v>
      </c>
      <c r="B12" s="37" t="str">
        <f aca="false">'2. Résultats'!C13</f>
        <v/>
      </c>
      <c r="C12" s="38" t="str">
        <f aca="false">'2. Résultats'!F13</f>
        <v>—</v>
      </c>
      <c r="D12" s="20" t="str">
        <f aca="false">IFERROR(INDEX('4. Référentiel recos'!$D$4:$D$58,MATCH('2. Résultats'!$B$13&amp;"|"&amp;'2. Résultats'!$F$13,'4. Référentiel recos'!$A$4:$A$58,0)),"Complétez le questionnaire pour cette dimension.")</f>
        <v>Complétez le questionnaire pour cette dimension.</v>
      </c>
      <c r="E12" s="20" t="str">
        <f aca="false">IFERROR(INDEX('4. Référentiel recos'!$E$4:$E$58,MATCH('2. Résultats'!$B$13&amp;"|"&amp;'2. Résultats'!$F$13,'4. Référentiel recos'!$A$4:$A$58,0)),"Complétez le questionnaire pour cette dimension.")</f>
        <v>Complétez le questionnaire pour cette dimension.</v>
      </c>
      <c r="F12" s="20" t="str">
        <f aca="false">IFERROR(INDEX('4. Référentiel recos'!$F$4:$F$58,MATCH('2. Résultats'!$B$13&amp;"|"&amp;'2. Résultats'!$F$13,'4. Référentiel recos'!$A$4:$A$58,0)),"Complétez le questionnaire pour cette dimension.")</f>
        <v>Complétez le questionnaire pour cette dimension.</v>
      </c>
    </row>
    <row r="13" customFormat="false" ht="78" hidden="false" customHeight="true" outlineLevel="0" collapsed="false">
      <c r="A13" s="19" t="str">
        <f aca="false">'2. Résultats'!B14</f>
        <v>9. Continuité d'activité (PCA/PRA)</v>
      </c>
      <c r="B13" s="37" t="str">
        <f aca="false">'2. Résultats'!C14</f>
        <v/>
      </c>
      <c r="C13" s="38" t="str">
        <f aca="false">'2. Résultats'!F14</f>
        <v>—</v>
      </c>
      <c r="D13" s="20" t="str">
        <f aca="false">IFERROR(INDEX('4. Référentiel recos'!$D$4:$D$58,MATCH('2. Résultats'!$B$14&amp;"|"&amp;'2. Résultats'!$F$14,'4. Référentiel recos'!$A$4:$A$58,0)),"Complétez le questionnaire pour cette dimension.")</f>
        <v>Complétez le questionnaire pour cette dimension.</v>
      </c>
      <c r="E13" s="20" t="str">
        <f aca="false">IFERROR(INDEX('4. Référentiel recos'!$E$4:$E$58,MATCH('2. Résultats'!$B$14&amp;"|"&amp;'2. Résultats'!$F$14,'4. Référentiel recos'!$A$4:$A$58,0)),"Complétez le questionnaire pour cette dimension.")</f>
        <v>Complétez le questionnaire pour cette dimension.</v>
      </c>
      <c r="F13" s="20" t="str">
        <f aca="false">IFERROR(INDEX('4. Référentiel recos'!$F$4:$F$58,MATCH('2. Résultats'!$B$14&amp;"|"&amp;'2. Résultats'!$F$14,'4. Référentiel recos'!$A$4:$A$58,0)),"Complétez le questionnaire pour cette dimension.")</f>
        <v>Complétez le questionnaire pour cette dimension.</v>
      </c>
    </row>
    <row r="14" customFormat="false" ht="78" hidden="false" customHeight="true" outlineLevel="0" collapsed="false">
      <c r="A14" s="19" t="str">
        <f aca="false">'2. Résultats'!B15</f>
        <v>10. Gestion de crise (PGC)</v>
      </c>
      <c r="B14" s="37" t="str">
        <f aca="false">'2. Résultats'!C15</f>
        <v/>
      </c>
      <c r="C14" s="38" t="str">
        <f aca="false">'2. Résultats'!F15</f>
        <v>—</v>
      </c>
      <c r="D14" s="20" t="str">
        <f aca="false">IFERROR(INDEX('4. Référentiel recos'!$D$4:$D$58,MATCH('2. Résultats'!$B$15&amp;"|"&amp;'2. Résultats'!$F$15,'4. Référentiel recos'!$A$4:$A$58,0)),"Complétez le questionnaire pour cette dimension.")</f>
        <v>Complétez le questionnaire pour cette dimension.</v>
      </c>
      <c r="E14" s="20" t="str">
        <f aca="false">IFERROR(INDEX('4. Référentiel recos'!$E$4:$E$58,MATCH('2. Résultats'!$B$15&amp;"|"&amp;'2. Résultats'!$F$15,'4. Référentiel recos'!$A$4:$A$58,0)),"Complétez le questionnaire pour cette dimension.")</f>
        <v>Complétez le questionnaire pour cette dimension.</v>
      </c>
      <c r="F14" s="20" t="str">
        <f aca="false">IFERROR(INDEX('4. Référentiel recos'!$F$4:$F$58,MATCH('2. Résultats'!$B$15&amp;"|"&amp;'2. Résultats'!$F$15,'4. Référentiel recos'!$A$4:$A$58,0)),"Complétez le questionnaire pour cette dimension.")</f>
        <v>Complétez le questionnaire pour cette dimension.</v>
      </c>
    </row>
    <row r="15" customFormat="false" ht="78" hidden="false" customHeight="true" outlineLevel="0" collapsed="false">
      <c r="A15" s="19" t="str">
        <f aca="false">'2. Résultats'!B16</f>
        <v>11. Résilience organisationnelle</v>
      </c>
      <c r="B15" s="37" t="str">
        <f aca="false">'2. Résultats'!C16</f>
        <v/>
      </c>
      <c r="C15" s="38" t="str">
        <f aca="false">'2. Résultats'!F16</f>
        <v>—</v>
      </c>
      <c r="D15" s="20" t="str">
        <f aca="false">IFERROR(INDEX('4. Référentiel recos'!$D$4:$D$58,MATCH('2. Résultats'!$B$16&amp;"|"&amp;'2. Résultats'!$F$16,'4. Référentiel recos'!$A$4:$A$58,0)),"Complétez le questionnaire pour cette dimension.")</f>
        <v>Complétez le questionnaire pour cette dimension.</v>
      </c>
      <c r="E15" s="20" t="str">
        <f aca="false">IFERROR(INDEX('4. Référentiel recos'!$E$4:$E$58,MATCH('2. Résultats'!$B$16&amp;"|"&amp;'2. Résultats'!$F$16,'4. Référentiel recos'!$A$4:$A$58,0)),"Complétez le questionnaire pour cette dimension.")</f>
        <v>Complétez le questionnaire pour cette dimension.</v>
      </c>
      <c r="F15" s="20" t="str">
        <f aca="false">IFERROR(INDEX('4. Référentiel recos'!$F$4:$F$58,MATCH('2. Résultats'!$B$16&amp;"|"&amp;'2. Résultats'!$F$16,'4. Référentiel recos'!$A$4:$A$58,0)),"Complétez le questionnaire pour cette dimension.")</f>
        <v>Complétez le questionnaire pour cette dimension.</v>
      </c>
    </row>
  </sheetData>
  <mergeCells count="1">
    <mergeCell ref="A2:E2"/>
  </mergeCells>
  <conditionalFormatting sqref="B5:B15">
    <cfRule type="cellIs" priority="2" operator="lessThan" aboveAverage="0" equalAverage="0" bottom="0" percent="0" rank="0" text="" dxfId="0">
      <formula>1.9</formula>
    </cfRule>
    <cfRule type="cellIs" priority="3" operator="between" aboveAverage="0" equalAverage="0" bottom="0" percent="0" rank="0" text="" dxfId="1">
      <formula>1.9</formula>
      <formula>2.69</formula>
    </cfRule>
    <cfRule type="cellIs" priority="4" operator="greaterThanOrEqual" aboveAverage="0" equalAverage="0" bottom="0" percent="0" rank="0" text="" dxfId="3">
      <formula>2.7</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4"/>
    <col collapsed="false" customWidth="true" hidden="false" outlineLevel="0" max="3" min="3" style="0" width="15"/>
    <col collapsed="false" customWidth="true" hidden="false" outlineLevel="0" max="4" min="4" style="0" width="52"/>
    <col collapsed="false" customWidth="true" hidden="false" outlineLevel="0" max="6" min="5" style="0" width="58"/>
  </cols>
  <sheetData>
    <row r="1" customFormat="false" ht="15" hidden="false" customHeight="false" outlineLevel="0" collapsed="false">
      <c r="A1" s="39" t="s">
        <v>310</v>
      </c>
      <c r="B1" s="39"/>
      <c r="C1" s="39"/>
      <c r="D1" s="39"/>
      <c r="E1" s="39"/>
      <c r="F1" s="39"/>
    </row>
    <row r="3" customFormat="false" ht="15" hidden="false" customHeight="false" outlineLevel="0" collapsed="false">
      <c r="A3" s="8" t="s">
        <v>311</v>
      </c>
      <c r="B3" s="8" t="s">
        <v>34</v>
      </c>
      <c r="C3" s="8" t="s">
        <v>299</v>
      </c>
      <c r="D3" s="8" t="s">
        <v>307</v>
      </c>
      <c r="E3" s="8" t="s">
        <v>308</v>
      </c>
      <c r="F3" s="8" t="s">
        <v>309</v>
      </c>
    </row>
    <row r="4" customFormat="false" ht="48" hidden="false" customHeight="true" outlineLevel="0" collapsed="false">
      <c r="A4" s="40" t="s">
        <v>312</v>
      </c>
      <c r="B4" s="40" t="s">
        <v>36</v>
      </c>
      <c r="C4" s="40" t="s">
        <v>23</v>
      </c>
      <c r="D4" s="40" t="s">
        <v>313</v>
      </c>
      <c r="E4" s="40" t="s">
        <v>314</v>
      </c>
      <c r="F4" s="40" t="s">
        <v>315</v>
      </c>
    </row>
    <row r="5" customFormat="false" ht="48" hidden="false" customHeight="true" outlineLevel="0" collapsed="false">
      <c r="A5" s="40" t="s">
        <v>316</v>
      </c>
      <c r="B5" s="40" t="s">
        <v>36</v>
      </c>
      <c r="C5" s="40" t="s">
        <v>25</v>
      </c>
      <c r="D5" s="40" t="s">
        <v>317</v>
      </c>
      <c r="E5" s="40" t="s">
        <v>318</v>
      </c>
      <c r="F5" s="40" t="s">
        <v>319</v>
      </c>
    </row>
    <row r="6" customFormat="false" ht="48" hidden="false" customHeight="true" outlineLevel="0" collapsed="false">
      <c r="A6" s="40" t="s">
        <v>320</v>
      </c>
      <c r="B6" s="40" t="s">
        <v>36</v>
      </c>
      <c r="C6" s="40" t="s">
        <v>27</v>
      </c>
      <c r="D6" s="40" t="s">
        <v>321</v>
      </c>
      <c r="E6" s="40" t="s">
        <v>322</v>
      </c>
      <c r="F6" s="40" t="s">
        <v>323</v>
      </c>
    </row>
    <row r="7" customFormat="false" ht="48" hidden="false" customHeight="true" outlineLevel="0" collapsed="false">
      <c r="A7" s="40" t="s">
        <v>324</v>
      </c>
      <c r="B7" s="40" t="s">
        <v>36</v>
      </c>
      <c r="C7" s="40" t="s">
        <v>29</v>
      </c>
      <c r="D7" s="40" t="s">
        <v>325</v>
      </c>
      <c r="E7" s="40" t="s">
        <v>326</v>
      </c>
      <c r="F7" s="40" t="s">
        <v>327</v>
      </c>
    </row>
    <row r="8" customFormat="false" ht="48" hidden="false" customHeight="true" outlineLevel="0" collapsed="false">
      <c r="A8" s="40" t="s">
        <v>328</v>
      </c>
      <c r="B8" s="40" t="s">
        <v>36</v>
      </c>
      <c r="C8" s="40" t="s">
        <v>31</v>
      </c>
      <c r="D8" s="40" t="s">
        <v>329</v>
      </c>
      <c r="E8" s="40" t="s">
        <v>330</v>
      </c>
      <c r="F8" s="40" t="s">
        <v>331</v>
      </c>
    </row>
    <row r="9" customFormat="false" ht="48" hidden="false" customHeight="true" outlineLevel="0" collapsed="false">
      <c r="A9" s="40" t="s">
        <v>332</v>
      </c>
      <c r="B9" s="40" t="s">
        <v>37</v>
      </c>
      <c r="C9" s="40" t="s">
        <v>23</v>
      </c>
      <c r="D9" s="40" t="s">
        <v>333</v>
      </c>
      <c r="E9" s="40" t="s">
        <v>334</v>
      </c>
      <c r="F9" s="40" t="s">
        <v>335</v>
      </c>
    </row>
    <row r="10" customFormat="false" ht="48" hidden="false" customHeight="true" outlineLevel="0" collapsed="false">
      <c r="A10" s="40" t="s">
        <v>336</v>
      </c>
      <c r="B10" s="40" t="s">
        <v>37</v>
      </c>
      <c r="C10" s="40" t="s">
        <v>25</v>
      </c>
      <c r="D10" s="40" t="s">
        <v>337</v>
      </c>
      <c r="E10" s="40" t="s">
        <v>338</v>
      </c>
      <c r="F10" s="40" t="s">
        <v>339</v>
      </c>
    </row>
    <row r="11" customFormat="false" ht="48" hidden="false" customHeight="true" outlineLevel="0" collapsed="false">
      <c r="A11" s="40" t="s">
        <v>340</v>
      </c>
      <c r="B11" s="40" t="s">
        <v>37</v>
      </c>
      <c r="C11" s="40" t="s">
        <v>27</v>
      </c>
      <c r="D11" s="40" t="s">
        <v>341</v>
      </c>
      <c r="E11" s="40" t="s">
        <v>342</v>
      </c>
      <c r="F11" s="40" t="s">
        <v>343</v>
      </c>
    </row>
    <row r="12" customFormat="false" ht="48" hidden="false" customHeight="true" outlineLevel="0" collapsed="false">
      <c r="A12" s="40" t="s">
        <v>344</v>
      </c>
      <c r="B12" s="40" t="s">
        <v>37</v>
      </c>
      <c r="C12" s="40" t="s">
        <v>29</v>
      </c>
      <c r="D12" s="40" t="s">
        <v>345</v>
      </c>
      <c r="E12" s="40" t="s">
        <v>346</v>
      </c>
      <c r="F12" s="40" t="s">
        <v>347</v>
      </c>
    </row>
    <row r="13" customFormat="false" ht="48" hidden="false" customHeight="true" outlineLevel="0" collapsed="false">
      <c r="A13" s="40" t="s">
        <v>348</v>
      </c>
      <c r="B13" s="40" t="s">
        <v>37</v>
      </c>
      <c r="C13" s="40" t="s">
        <v>31</v>
      </c>
      <c r="D13" s="40" t="s">
        <v>349</v>
      </c>
      <c r="E13" s="40" t="s">
        <v>350</v>
      </c>
      <c r="F13" s="40" t="s">
        <v>351</v>
      </c>
    </row>
    <row r="14" customFormat="false" ht="48" hidden="false" customHeight="true" outlineLevel="0" collapsed="false">
      <c r="A14" s="40" t="s">
        <v>352</v>
      </c>
      <c r="B14" s="40" t="s">
        <v>38</v>
      </c>
      <c r="C14" s="40" t="s">
        <v>23</v>
      </c>
      <c r="D14" s="40" t="s">
        <v>353</v>
      </c>
      <c r="E14" s="40" t="s">
        <v>354</v>
      </c>
      <c r="F14" s="40" t="s">
        <v>355</v>
      </c>
    </row>
    <row r="15" customFormat="false" ht="48" hidden="false" customHeight="true" outlineLevel="0" collapsed="false">
      <c r="A15" s="40" t="s">
        <v>356</v>
      </c>
      <c r="B15" s="40" t="s">
        <v>38</v>
      </c>
      <c r="C15" s="40" t="s">
        <v>25</v>
      </c>
      <c r="D15" s="40" t="s">
        <v>357</v>
      </c>
      <c r="E15" s="40" t="s">
        <v>358</v>
      </c>
      <c r="F15" s="40" t="s">
        <v>359</v>
      </c>
    </row>
    <row r="16" customFormat="false" ht="48" hidden="false" customHeight="true" outlineLevel="0" collapsed="false">
      <c r="A16" s="40" t="s">
        <v>360</v>
      </c>
      <c r="B16" s="40" t="s">
        <v>38</v>
      </c>
      <c r="C16" s="40" t="s">
        <v>27</v>
      </c>
      <c r="D16" s="40" t="s">
        <v>361</v>
      </c>
      <c r="E16" s="40" t="s">
        <v>362</v>
      </c>
      <c r="F16" s="40" t="s">
        <v>363</v>
      </c>
    </row>
    <row r="17" customFormat="false" ht="48" hidden="false" customHeight="true" outlineLevel="0" collapsed="false">
      <c r="A17" s="40" t="s">
        <v>364</v>
      </c>
      <c r="B17" s="40" t="s">
        <v>38</v>
      </c>
      <c r="C17" s="40" t="s">
        <v>29</v>
      </c>
      <c r="D17" s="40" t="s">
        <v>365</v>
      </c>
      <c r="E17" s="40" t="s">
        <v>366</v>
      </c>
      <c r="F17" s="40" t="s">
        <v>367</v>
      </c>
    </row>
    <row r="18" customFormat="false" ht="48" hidden="false" customHeight="true" outlineLevel="0" collapsed="false">
      <c r="A18" s="40" t="s">
        <v>368</v>
      </c>
      <c r="B18" s="40" t="s">
        <v>38</v>
      </c>
      <c r="C18" s="40" t="s">
        <v>31</v>
      </c>
      <c r="D18" s="40" t="s">
        <v>369</v>
      </c>
      <c r="E18" s="40" t="s">
        <v>370</v>
      </c>
      <c r="F18" s="40" t="s">
        <v>371</v>
      </c>
    </row>
    <row r="19" customFormat="false" ht="48" hidden="false" customHeight="true" outlineLevel="0" collapsed="false">
      <c r="A19" s="40" t="s">
        <v>372</v>
      </c>
      <c r="B19" s="40" t="s">
        <v>39</v>
      </c>
      <c r="C19" s="40" t="s">
        <v>23</v>
      </c>
      <c r="D19" s="40" t="s">
        <v>373</v>
      </c>
      <c r="E19" s="40" t="s">
        <v>374</v>
      </c>
      <c r="F19" s="40" t="s">
        <v>375</v>
      </c>
    </row>
    <row r="20" customFormat="false" ht="48" hidden="false" customHeight="true" outlineLevel="0" collapsed="false">
      <c r="A20" s="40" t="s">
        <v>376</v>
      </c>
      <c r="B20" s="40" t="s">
        <v>39</v>
      </c>
      <c r="C20" s="40" t="s">
        <v>25</v>
      </c>
      <c r="D20" s="40" t="s">
        <v>377</v>
      </c>
      <c r="E20" s="40" t="s">
        <v>378</v>
      </c>
      <c r="F20" s="40" t="s">
        <v>379</v>
      </c>
    </row>
    <row r="21" customFormat="false" ht="48" hidden="false" customHeight="true" outlineLevel="0" collapsed="false">
      <c r="A21" s="40" t="s">
        <v>380</v>
      </c>
      <c r="B21" s="40" t="s">
        <v>39</v>
      </c>
      <c r="C21" s="40" t="s">
        <v>27</v>
      </c>
      <c r="D21" s="40" t="s">
        <v>381</v>
      </c>
      <c r="E21" s="40" t="s">
        <v>382</v>
      </c>
      <c r="F21" s="40" t="s">
        <v>383</v>
      </c>
    </row>
    <row r="22" customFormat="false" ht="48" hidden="false" customHeight="true" outlineLevel="0" collapsed="false">
      <c r="A22" s="40" t="s">
        <v>384</v>
      </c>
      <c r="B22" s="40" t="s">
        <v>39</v>
      </c>
      <c r="C22" s="40" t="s">
        <v>29</v>
      </c>
      <c r="D22" s="40" t="s">
        <v>385</v>
      </c>
      <c r="E22" s="40" t="s">
        <v>386</v>
      </c>
      <c r="F22" s="40" t="s">
        <v>387</v>
      </c>
    </row>
    <row r="23" customFormat="false" ht="48" hidden="false" customHeight="true" outlineLevel="0" collapsed="false">
      <c r="A23" s="40" t="s">
        <v>388</v>
      </c>
      <c r="B23" s="40" t="s">
        <v>39</v>
      </c>
      <c r="C23" s="40" t="s">
        <v>31</v>
      </c>
      <c r="D23" s="40" t="s">
        <v>369</v>
      </c>
      <c r="E23" s="40" t="s">
        <v>389</v>
      </c>
      <c r="F23" s="40" t="s">
        <v>390</v>
      </c>
    </row>
    <row r="24" customFormat="false" ht="48" hidden="false" customHeight="true" outlineLevel="0" collapsed="false">
      <c r="A24" s="40" t="s">
        <v>391</v>
      </c>
      <c r="B24" s="40" t="s">
        <v>40</v>
      </c>
      <c r="C24" s="40" t="s">
        <v>23</v>
      </c>
      <c r="D24" s="40" t="s">
        <v>392</v>
      </c>
      <c r="E24" s="40" t="s">
        <v>393</v>
      </c>
      <c r="F24" s="40" t="s">
        <v>394</v>
      </c>
    </row>
    <row r="25" customFormat="false" ht="48" hidden="false" customHeight="true" outlineLevel="0" collapsed="false">
      <c r="A25" s="40" t="s">
        <v>395</v>
      </c>
      <c r="B25" s="40" t="s">
        <v>40</v>
      </c>
      <c r="C25" s="40" t="s">
        <v>25</v>
      </c>
      <c r="D25" s="40" t="s">
        <v>396</v>
      </c>
      <c r="E25" s="40" t="s">
        <v>397</v>
      </c>
      <c r="F25" s="40" t="s">
        <v>398</v>
      </c>
    </row>
    <row r="26" customFormat="false" ht="48" hidden="false" customHeight="true" outlineLevel="0" collapsed="false">
      <c r="A26" s="40" t="s">
        <v>399</v>
      </c>
      <c r="B26" s="40" t="s">
        <v>40</v>
      </c>
      <c r="C26" s="40" t="s">
        <v>27</v>
      </c>
      <c r="D26" s="40" t="s">
        <v>400</v>
      </c>
      <c r="E26" s="40" t="s">
        <v>401</v>
      </c>
      <c r="F26" s="40" t="s">
        <v>402</v>
      </c>
    </row>
    <row r="27" customFormat="false" ht="48" hidden="false" customHeight="true" outlineLevel="0" collapsed="false">
      <c r="A27" s="40" t="s">
        <v>403</v>
      </c>
      <c r="B27" s="40" t="s">
        <v>40</v>
      </c>
      <c r="C27" s="40" t="s">
        <v>29</v>
      </c>
      <c r="D27" s="40" t="s">
        <v>404</v>
      </c>
      <c r="E27" s="40" t="s">
        <v>405</v>
      </c>
      <c r="F27" s="40" t="s">
        <v>406</v>
      </c>
    </row>
    <row r="28" customFormat="false" ht="48" hidden="false" customHeight="true" outlineLevel="0" collapsed="false">
      <c r="A28" s="40" t="s">
        <v>407</v>
      </c>
      <c r="B28" s="40" t="s">
        <v>40</v>
      </c>
      <c r="C28" s="40" t="s">
        <v>31</v>
      </c>
      <c r="D28" s="40" t="s">
        <v>369</v>
      </c>
      <c r="E28" s="40" t="s">
        <v>408</v>
      </c>
      <c r="F28" s="40" t="s">
        <v>409</v>
      </c>
    </row>
    <row r="29" customFormat="false" ht="48" hidden="false" customHeight="true" outlineLevel="0" collapsed="false">
      <c r="A29" s="40" t="s">
        <v>410</v>
      </c>
      <c r="B29" s="40" t="s">
        <v>41</v>
      </c>
      <c r="C29" s="40" t="s">
        <v>23</v>
      </c>
      <c r="D29" s="40" t="s">
        <v>411</v>
      </c>
      <c r="E29" s="40" t="s">
        <v>412</v>
      </c>
      <c r="F29" s="40" t="s">
        <v>413</v>
      </c>
    </row>
    <row r="30" customFormat="false" ht="48" hidden="false" customHeight="true" outlineLevel="0" collapsed="false">
      <c r="A30" s="40" t="s">
        <v>414</v>
      </c>
      <c r="B30" s="40" t="s">
        <v>41</v>
      </c>
      <c r="C30" s="40" t="s">
        <v>25</v>
      </c>
      <c r="D30" s="40" t="s">
        <v>415</v>
      </c>
      <c r="E30" s="40" t="s">
        <v>416</v>
      </c>
      <c r="F30" s="40" t="s">
        <v>417</v>
      </c>
    </row>
    <row r="31" customFormat="false" ht="48" hidden="false" customHeight="true" outlineLevel="0" collapsed="false">
      <c r="A31" s="40" t="s">
        <v>418</v>
      </c>
      <c r="B31" s="40" t="s">
        <v>41</v>
      </c>
      <c r="C31" s="40" t="s">
        <v>27</v>
      </c>
      <c r="D31" s="40" t="s">
        <v>419</v>
      </c>
      <c r="E31" s="40" t="s">
        <v>420</v>
      </c>
      <c r="F31" s="40" t="s">
        <v>421</v>
      </c>
    </row>
    <row r="32" customFormat="false" ht="48" hidden="false" customHeight="true" outlineLevel="0" collapsed="false">
      <c r="A32" s="40" t="s">
        <v>422</v>
      </c>
      <c r="B32" s="40" t="s">
        <v>41</v>
      </c>
      <c r="C32" s="40" t="s">
        <v>29</v>
      </c>
      <c r="D32" s="40" t="s">
        <v>423</v>
      </c>
      <c r="E32" s="40" t="s">
        <v>424</v>
      </c>
      <c r="F32" s="40" t="s">
        <v>425</v>
      </c>
    </row>
    <row r="33" customFormat="false" ht="48" hidden="false" customHeight="true" outlineLevel="0" collapsed="false">
      <c r="A33" s="40" t="s">
        <v>426</v>
      </c>
      <c r="B33" s="40" t="s">
        <v>41</v>
      </c>
      <c r="C33" s="40" t="s">
        <v>31</v>
      </c>
      <c r="D33" s="40" t="s">
        <v>369</v>
      </c>
      <c r="E33" s="40" t="s">
        <v>427</v>
      </c>
      <c r="F33" s="40" t="s">
        <v>428</v>
      </c>
    </row>
    <row r="34" customFormat="false" ht="48" hidden="false" customHeight="true" outlineLevel="0" collapsed="false">
      <c r="A34" s="40" t="s">
        <v>429</v>
      </c>
      <c r="B34" s="40" t="s">
        <v>42</v>
      </c>
      <c r="C34" s="40" t="s">
        <v>23</v>
      </c>
      <c r="D34" s="40" t="s">
        <v>430</v>
      </c>
      <c r="E34" s="40" t="s">
        <v>431</v>
      </c>
      <c r="F34" s="40" t="s">
        <v>432</v>
      </c>
    </row>
    <row r="35" customFormat="false" ht="48" hidden="false" customHeight="true" outlineLevel="0" collapsed="false">
      <c r="A35" s="40" t="s">
        <v>433</v>
      </c>
      <c r="B35" s="40" t="s">
        <v>42</v>
      </c>
      <c r="C35" s="40" t="s">
        <v>25</v>
      </c>
      <c r="D35" s="40" t="s">
        <v>434</v>
      </c>
      <c r="E35" s="40" t="s">
        <v>435</v>
      </c>
      <c r="F35" s="40" t="s">
        <v>436</v>
      </c>
    </row>
    <row r="36" customFormat="false" ht="48" hidden="false" customHeight="true" outlineLevel="0" collapsed="false">
      <c r="A36" s="40" t="s">
        <v>437</v>
      </c>
      <c r="B36" s="40" t="s">
        <v>42</v>
      </c>
      <c r="C36" s="40" t="s">
        <v>27</v>
      </c>
      <c r="D36" s="40" t="s">
        <v>438</v>
      </c>
      <c r="E36" s="40" t="s">
        <v>439</v>
      </c>
      <c r="F36" s="40" t="s">
        <v>440</v>
      </c>
    </row>
    <row r="37" customFormat="false" ht="48" hidden="false" customHeight="true" outlineLevel="0" collapsed="false">
      <c r="A37" s="40" t="s">
        <v>441</v>
      </c>
      <c r="B37" s="40" t="s">
        <v>42</v>
      </c>
      <c r="C37" s="40" t="s">
        <v>29</v>
      </c>
      <c r="D37" s="40" t="s">
        <v>442</v>
      </c>
      <c r="E37" s="40" t="s">
        <v>443</v>
      </c>
      <c r="F37" s="40" t="s">
        <v>444</v>
      </c>
    </row>
    <row r="38" customFormat="false" ht="48" hidden="false" customHeight="true" outlineLevel="0" collapsed="false">
      <c r="A38" s="40" t="s">
        <v>445</v>
      </c>
      <c r="B38" s="40" t="s">
        <v>42</v>
      </c>
      <c r="C38" s="40" t="s">
        <v>31</v>
      </c>
      <c r="D38" s="40" t="s">
        <v>369</v>
      </c>
      <c r="E38" s="40" t="s">
        <v>446</v>
      </c>
      <c r="F38" s="40" t="s">
        <v>447</v>
      </c>
    </row>
    <row r="39" customFormat="false" ht="48" hidden="false" customHeight="true" outlineLevel="0" collapsed="false">
      <c r="A39" s="40" t="s">
        <v>448</v>
      </c>
      <c r="B39" s="40" t="s">
        <v>43</v>
      </c>
      <c r="C39" s="40" t="s">
        <v>23</v>
      </c>
      <c r="D39" s="40" t="s">
        <v>449</v>
      </c>
      <c r="E39" s="40" t="s">
        <v>450</v>
      </c>
      <c r="F39" s="40" t="s">
        <v>451</v>
      </c>
    </row>
    <row r="40" customFormat="false" ht="48" hidden="false" customHeight="true" outlineLevel="0" collapsed="false">
      <c r="A40" s="40" t="s">
        <v>452</v>
      </c>
      <c r="B40" s="40" t="s">
        <v>43</v>
      </c>
      <c r="C40" s="40" t="s">
        <v>25</v>
      </c>
      <c r="D40" s="40" t="s">
        <v>453</v>
      </c>
      <c r="E40" s="40" t="s">
        <v>454</v>
      </c>
      <c r="F40" s="40" t="s">
        <v>455</v>
      </c>
    </row>
    <row r="41" customFormat="false" ht="48" hidden="false" customHeight="true" outlineLevel="0" collapsed="false">
      <c r="A41" s="40" t="s">
        <v>456</v>
      </c>
      <c r="B41" s="40" t="s">
        <v>43</v>
      </c>
      <c r="C41" s="40" t="s">
        <v>27</v>
      </c>
      <c r="D41" s="40" t="s">
        <v>457</v>
      </c>
      <c r="E41" s="40" t="s">
        <v>458</v>
      </c>
      <c r="F41" s="40" t="s">
        <v>459</v>
      </c>
    </row>
    <row r="42" customFormat="false" ht="48" hidden="false" customHeight="true" outlineLevel="0" collapsed="false">
      <c r="A42" s="40" t="s">
        <v>460</v>
      </c>
      <c r="B42" s="40" t="s">
        <v>43</v>
      </c>
      <c r="C42" s="40" t="s">
        <v>29</v>
      </c>
      <c r="D42" s="40" t="s">
        <v>461</v>
      </c>
      <c r="E42" s="40" t="s">
        <v>462</v>
      </c>
      <c r="F42" s="40" t="s">
        <v>463</v>
      </c>
    </row>
    <row r="43" customFormat="false" ht="48" hidden="false" customHeight="true" outlineLevel="0" collapsed="false">
      <c r="A43" s="40" t="s">
        <v>464</v>
      </c>
      <c r="B43" s="40" t="s">
        <v>43</v>
      </c>
      <c r="C43" s="40" t="s">
        <v>31</v>
      </c>
      <c r="D43" s="40" t="s">
        <v>369</v>
      </c>
      <c r="E43" s="40" t="s">
        <v>465</v>
      </c>
      <c r="F43" s="40" t="s">
        <v>466</v>
      </c>
    </row>
    <row r="44" customFormat="false" ht="48" hidden="false" customHeight="true" outlineLevel="0" collapsed="false">
      <c r="A44" s="40" t="s">
        <v>467</v>
      </c>
      <c r="B44" s="40" t="s">
        <v>44</v>
      </c>
      <c r="C44" s="40" t="s">
        <v>23</v>
      </c>
      <c r="D44" s="40" t="s">
        <v>468</v>
      </c>
      <c r="E44" s="40" t="s">
        <v>469</v>
      </c>
      <c r="F44" s="40" t="s">
        <v>470</v>
      </c>
    </row>
    <row r="45" customFormat="false" ht="48" hidden="false" customHeight="true" outlineLevel="0" collapsed="false">
      <c r="A45" s="40" t="s">
        <v>471</v>
      </c>
      <c r="B45" s="40" t="s">
        <v>44</v>
      </c>
      <c r="C45" s="40" t="s">
        <v>25</v>
      </c>
      <c r="D45" s="40" t="s">
        <v>472</v>
      </c>
      <c r="E45" s="40" t="s">
        <v>473</v>
      </c>
      <c r="F45" s="40" t="s">
        <v>474</v>
      </c>
    </row>
    <row r="46" customFormat="false" ht="48" hidden="false" customHeight="true" outlineLevel="0" collapsed="false">
      <c r="A46" s="40" t="s">
        <v>475</v>
      </c>
      <c r="B46" s="40" t="s">
        <v>44</v>
      </c>
      <c r="C46" s="40" t="s">
        <v>27</v>
      </c>
      <c r="D46" s="40" t="s">
        <v>476</v>
      </c>
      <c r="E46" s="40" t="s">
        <v>477</v>
      </c>
      <c r="F46" s="40" t="s">
        <v>478</v>
      </c>
    </row>
    <row r="47" customFormat="false" ht="48" hidden="false" customHeight="true" outlineLevel="0" collapsed="false">
      <c r="A47" s="40" t="s">
        <v>479</v>
      </c>
      <c r="B47" s="40" t="s">
        <v>44</v>
      </c>
      <c r="C47" s="40" t="s">
        <v>29</v>
      </c>
      <c r="D47" s="40" t="s">
        <v>480</v>
      </c>
      <c r="E47" s="40" t="s">
        <v>481</v>
      </c>
      <c r="F47" s="40" t="s">
        <v>482</v>
      </c>
    </row>
    <row r="48" customFormat="false" ht="48" hidden="false" customHeight="true" outlineLevel="0" collapsed="false">
      <c r="A48" s="40" t="s">
        <v>483</v>
      </c>
      <c r="B48" s="40" t="s">
        <v>44</v>
      </c>
      <c r="C48" s="40" t="s">
        <v>31</v>
      </c>
      <c r="D48" s="40" t="s">
        <v>369</v>
      </c>
      <c r="E48" s="40" t="s">
        <v>484</v>
      </c>
      <c r="F48" s="40" t="s">
        <v>485</v>
      </c>
    </row>
    <row r="49" customFormat="false" ht="48" hidden="false" customHeight="true" outlineLevel="0" collapsed="false">
      <c r="A49" s="40" t="s">
        <v>486</v>
      </c>
      <c r="B49" s="40" t="s">
        <v>45</v>
      </c>
      <c r="C49" s="40" t="s">
        <v>23</v>
      </c>
      <c r="D49" s="40" t="s">
        <v>487</v>
      </c>
      <c r="E49" s="40" t="s">
        <v>488</v>
      </c>
      <c r="F49" s="40" t="s">
        <v>489</v>
      </c>
    </row>
    <row r="50" customFormat="false" ht="48" hidden="false" customHeight="true" outlineLevel="0" collapsed="false">
      <c r="A50" s="40" t="s">
        <v>490</v>
      </c>
      <c r="B50" s="40" t="s">
        <v>45</v>
      </c>
      <c r="C50" s="40" t="s">
        <v>25</v>
      </c>
      <c r="D50" s="40" t="s">
        <v>491</v>
      </c>
      <c r="E50" s="40" t="s">
        <v>492</v>
      </c>
      <c r="F50" s="40" t="s">
        <v>493</v>
      </c>
    </row>
    <row r="51" customFormat="false" ht="48" hidden="false" customHeight="true" outlineLevel="0" collapsed="false">
      <c r="A51" s="40" t="s">
        <v>494</v>
      </c>
      <c r="B51" s="40" t="s">
        <v>45</v>
      </c>
      <c r="C51" s="40" t="s">
        <v>27</v>
      </c>
      <c r="D51" s="40" t="s">
        <v>495</v>
      </c>
      <c r="E51" s="40" t="s">
        <v>496</v>
      </c>
      <c r="F51" s="40" t="s">
        <v>497</v>
      </c>
    </row>
    <row r="52" customFormat="false" ht="48" hidden="false" customHeight="true" outlineLevel="0" collapsed="false">
      <c r="A52" s="40" t="s">
        <v>498</v>
      </c>
      <c r="B52" s="40" t="s">
        <v>45</v>
      </c>
      <c r="C52" s="40" t="s">
        <v>29</v>
      </c>
      <c r="D52" s="40" t="s">
        <v>499</v>
      </c>
      <c r="E52" s="40" t="s">
        <v>500</v>
      </c>
      <c r="F52" s="40" t="s">
        <v>501</v>
      </c>
    </row>
    <row r="53" customFormat="false" ht="48" hidden="false" customHeight="true" outlineLevel="0" collapsed="false">
      <c r="A53" s="40" t="s">
        <v>502</v>
      </c>
      <c r="B53" s="40" t="s">
        <v>45</v>
      </c>
      <c r="C53" s="40" t="s">
        <v>31</v>
      </c>
      <c r="D53" s="40" t="s">
        <v>369</v>
      </c>
      <c r="E53" s="40" t="s">
        <v>503</v>
      </c>
      <c r="F53" s="40" t="s">
        <v>504</v>
      </c>
    </row>
    <row r="54" customFormat="false" ht="48" hidden="false" customHeight="true" outlineLevel="0" collapsed="false">
      <c r="A54" s="40" t="s">
        <v>505</v>
      </c>
      <c r="B54" s="40" t="s">
        <v>46</v>
      </c>
      <c r="C54" s="40" t="s">
        <v>23</v>
      </c>
      <c r="D54" s="40" t="s">
        <v>506</v>
      </c>
      <c r="E54" s="40" t="s">
        <v>507</v>
      </c>
      <c r="F54" s="40" t="s">
        <v>508</v>
      </c>
    </row>
    <row r="55" customFormat="false" ht="48" hidden="false" customHeight="true" outlineLevel="0" collapsed="false">
      <c r="A55" s="40" t="s">
        <v>509</v>
      </c>
      <c r="B55" s="40" t="s">
        <v>46</v>
      </c>
      <c r="C55" s="40" t="s">
        <v>25</v>
      </c>
      <c r="D55" s="40" t="s">
        <v>510</v>
      </c>
      <c r="E55" s="40" t="s">
        <v>511</v>
      </c>
      <c r="F55" s="40" t="s">
        <v>512</v>
      </c>
    </row>
    <row r="56" customFormat="false" ht="48" hidden="false" customHeight="true" outlineLevel="0" collapsed="false">
      <c r="A56" s="40" t="s">
        <v>513</v>
      </c>
      <c r="B56" s="40" t="s">
        <v>46</v>
      </c>
      <c r="C56" s="40" t="s">
        <v>27</v>
      </c>
      <c r="D56" s="40" t="s">
        <v>514</v>
      </c>
      <c r="E56" s="40" t="s">
        <v>515</v>
      </c>
      <c r="F56" s="40" t="s">
        <v>516</v>
      </c>
    </row>
    <row r="57" customFormat="false" ht="48" hidden="false" customHeight="true" outlineLevel="0" collapsed="false">
      <c r="A57" s="40" t="s">
        <v>517</v>
      </c>
      <c r="B57" s="40" t="s">
        <v>46</v>
      </c>
      <c r="C57" s="40" t="s">
        <v>29</v>
      </c>
      <c r="D57" s="40" t="s">
        <v>518</v>
      </c>
      <c r="E57" s="40" t="s">
        <v>519</v>
      </c>
      <c r="F57" s="40" t="s">
        <v>520</v>
      </c>
    </row>
    <row r="58" customFormat="false" ht="48" hidden="false" customHeight="true" outlineLevel="0" collapsed="false">
      <c r="A58" s="40" t="s">
        <v>521</v>
      </c>
      <c r="B58" s="40" t="s">
        <v>46</v>
      </c>
      <c r="C58" s="40" t="s">
        <v>31</v>
      </c>
      <c r="D58" s="40" t="s">
        <v>369</v>
      </c>
      <c r="E58" s="40" t="s">
        <v>522</v>
      </c>
      <c r="F58" s="40" t="s">
        <v>523</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2026-07-17T18:33:48Z</dcterms:created>
  <dc:creator>openpyxl</dc:creator>
  <dc:description/>
  <dc:language>en-US</dc:language>
  <cp:lastModifiedBy/>
  <dcterms:modified xsi:type="dcterms:W3CDTF">2026-07-17T18:33:50Z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